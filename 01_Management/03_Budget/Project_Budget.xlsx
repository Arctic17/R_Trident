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a7c1b97a5dd47/Desktop/R_Trident/01_Management/03_Budget/"/>
    </mc:Choice>
  </mc:AlternateContent>
  <xr:revisionPtr revIDLastSave="78" documentId="8_{949EDE5D-C461-45A9-AECF-99AC9F3A9110}" xr6:coauthVersionLast="47" xr6:coauthVersionMax="47" xr10:uidLastSave="{303A6CBD-53AC-466B-B88C-281181C7F69E}"/>
  <bookViews>
    <workbookView xWindow="-108" yWindow="-108" windowWidth="23256" windowHeight="14616" xr2:uid="{0754690E-5DFD-46BD-A9B8-D5B7C6A45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I30" i="1"/>
  <c r="J30" i="1"/>
  <c r="G30" i="1"/>
  <c r="E30" i="1"/>
  <c r="E29" i="1"/>
  <c r="I15" i="1"/>
  <c r="J15" i="1"/>
  <c r="G15" i="1"/>
  <c r="H15" i="1"/>
  <c r="E15" i="1"/>
  <c r="E14" i="1"/>
  <c r="E13" i="1"/>
  <c r="E17" i="1"/>
  <c r="E18" i="1"/>
  <c r="E19" i="1"/>
  <c r="E20" i="1"/>
  <c r="E21" i="1"/>
  <c r="E22" i="1"/>
  <c r="E23" i="1"/>
  <c r="E24" i="1"/>
  <c r="E25" i="1"/>
  <c r="E26" i="1"/>
  <c r="E27" i="1"/>
  <c r="E28" i="1"/>
  <c r="E16" i="1"/>
  <c r="E9" i="1"/>
  <c r="E10" i="1"/>
  <c r="E11" i="1"/>
  <c r="E12" i="1"/>
  <c r="E8" i="1"/>
</calcChain>
</file>

<file path=xl/sharedStrings.xml><?xml version="1.0" encoding="utf-8"?>
<sst xmlns="http://schemas.openxmlformats.org/spreadsheetml/2006/main" count="153" uniqueCount="100">
  <si>
    <t>Task ID</t>
  </si>
  <si>
    <t>Phase</t>
  </si>
  <si>
    <t>Task Description</t>
  </si>
  <si>
    <t>Estimated Hours</t>
  </si>
  <si>
    <t>Actual Hours</t>
  </si>
  <si>
    <t>Variance (Hours)</t>
  </si>
  <si>
    <t>Estimated Cost (CHF)</t>
  </si>
  <si>
    <t>Actual Cost (CHF)</t>
  </si>
  <si>
    <t>T1</t>
  </si>
  <si>
    <t>Simulation &amp; Design</t>
  </si>
  <si>
    <t>Kinematic &amp; Dynamic Modeling in Simulink</t>
  </si>
  <si>
    <t>#ERROR!</t>
  </si>
  <si>
    <t>A2\</t>
  </si>
  <si>
    <t>Bill_of_Materials!F:F)</t>
  </si>
  <si>
    <t>T2</t>
  </si>
  <si>
    <t>Path Generation &amp; Trajectory Smoothing (S-Curve/30G Optimization)</t>
  </si>
  <si>
    <t>A3\</t>
  </si>
  <si>
    <t>T3</t>
  </si>
  <si>
    <t>Mechanical</t>
  </si>
  <si>
    <t>Procurement of 80x80 Profiles and Hardware</t>
  </si>
  <si>
    <t>A4\</t>
  </si>
  <si>
    <t>T4</t>
  </si>
  <si>
    <t>Machining &amp; Mounting 10mm HPL Vulcano Base Plate</t>
  </si>
  <si>
    <t>A5\</t>
  </si>
  <si>
    <t>T5</t>
  </si>
  <si>
    <t>Assembling Carbon Fiber Arms &amp; Ball Joints (150mm/300mm)</t>
  </si>
  <si>
    <t>A6\</t>
  </si>
  <si>
    <t>T6</t>
  </si>
  <si>
    <t>Electronics</t>
  </si>
  <si>
    <t>Wiring StepperOnline T6 Servos &amp; Power Supplies</t>
  </si>
  <si>
    <t>A7\</t>
  </si>
  <si>
    <t>T7</t>
  </si>
  <si>
    <t>Implementing DC E-Stop Safety &amp; Mechanical Brakes</t>
  </si>
  <si>
    <t>A8\</t>
  </si>
  <si>
    <t>T8</t>
  </si>
  <si>
    <t>Control &amp; EtherCAT</t>
  </si>
  <si>
    <t>Setting up TwinCAT 3 Real-Time Kernel on Legion Laptop</t>
  </si>
  <si>
    <t>A9\</t>
  </si>
  <si>
    <t>T9</t>
  </si>
  <si>
    <t>Mapping Drive ESI Files &amp; Tuning 17-bit CSP Loops</t>
  </si>
  <si>
    <t>A10\</t>
  </si>
  <si>
    <t>T10</t>
  </si>
  <si>
    <t>Academic</t>
  </si>
  <si>
    <t>Website Documentation &amp; Final Project Report Writing</t>
  </si>
  <si>
    <t>A11\</t>
  </si>
  <si>
    <t>TOTAL</t>
  </si>
  <si>
    <t>Total Project Summary</t>
  </si>
  <si>
    <t>Part ID</t>
  </si>
  <si>
    <t>Component Name</t>
  </si>
  <si>
    <t>Supplier</t>
  </si>
  <si>
    <t>Qty</t>
  </si>
  <si>
    <t>Unit Cost (CHF)</t>
  </si>
  <si>
    <t>Total Cost (CHF)</t>
  </si>
  <si>
    <t>Link to Task ID</t>
  </si>
  <si>
    <t>Status</t>
  </si>
  <si>
    <t>P1</t>
  </si>
  <si>
    <t>StepperOnline T6 EtherCAT Servo Motors + Drives (400W)</t>
  </si>
  <si>
    <t>StepperOnline</t>
  </si>
  <si>
    <t>Ordered</t>
  </si>
  <si>
    <t>P2</t>
  </si>
  <si>
    <t>80x80 Aluminum Profiles &amp; Fasteners</t>
  </si>
  <si>
    <t>Local Supplier</t>
  </si>
  <si>
    <t>Planned</t>
  </si>
  <si>
    <t>P3</t>
  </si>
  <si>
    <t>10mm HPL Vulcano Base Plate</t>
  </si>
  <si>
    <t>P4</t>
  </si>
  <si>
    <t>Carbon Fiber Tubes &amp; High-Precision Ball Joints</t>
  </si>
  <si>
    <t>Aliexpress/Hobby</t>
  </si>
  <si>
    <t>P5</t>
  </si>
  <si>
    <t>Heavy Duty DC Power Supply (Drive Power)</t>
  </si>
  <si>
    <t>Distrelec</t>
  </si>
  <si>
    <t>P6</t>
  </si>
  <si>
    <t>Latching E-Stop Button + Safety Contactor</t>
  </si>
  <si>
    <t>P7</t>
  </si>
  <si>
    <t>Shielded Cat6 SFTP Cables (EtherCAT Network)</t>
  </si>
  <si>
    <t>Local Shop</t>
  </si>
  <si>
    <t>P8</t>
  </si>
  <si>
    <t>Misc. Hardware (M8 Bolts\</t>
  </si>
  <si>
    <t>T-Nuts\</t>
  </si>
  <si>
    <t>Cable Ties)</t>
  </si>
  <si>
    <t>Hardware Store</t>
  </si>
  <si>
    <t>Task</t>
  </si>
  <si>
    <t xml:space="preserve">Phase </t>
  </si>
  <si>
    <t>Simulation</t>
  </si>
  <si>
    <t>Mechanical &amp; Electronics Design</t>
  </si>
  <si>
    <t>Phase Name</t>
  </si>
  <si>
    <t xml:space="preserve">Grasp and understand the kninematics </t>
  </si>
  <si>
    <t>Create a numerical twin in simscape</t>
  </si>
  <si>
    <t>optimise arm lengths and tune PID</t>
  </si>
  <si>
    <t xml:space="preserve">Take and read force valeus seen by the system </t>
  </si>
  <si>
    <t>do some rough FEMM simulations to test feasability</t>
  </si>
  <si>
    <t xml:space="preserve">Motor Selection and Purchases </t>
  </si>
  <si>
    <t>Frame</t>
  </si>
  <si>
    <t>Motor to Arm linkage</t>
  </si>
  <si>
    <t xml:space="preserve">Bicep </t>
  </si>
  <si>
    <t>Forearm (Ball joint incl.)</t>
  </si>
  <si>
    <t>Effector</t>
  </si>
  <si>
    <t>Saftey Critical Features</t>
  </si>
  <si>
    <t>PLC</t>
  </si>
  <si>
    <t>PLC 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</si>
</sst>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textRotation="45"/>
    </xf>
    <xf numFmtId="0" fontId="0" fillId="2" borderId="0" xfId="0" applyFill="1" applyAlignment="1">
      <alignment textRotation="45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textRotation="90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45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A9BF7-232D-4B9F-A78C-56D356C8EE95}" name="Table2" displayName="Table2" ref="E7:J30" totalsRowShown="0" headerRowDxfId="1">
  <autoFilter ref="E7:J30" xr:uid="{0CBA9BF7-232D-4B9F-A78C-56D356C8EE95}"/>
  <tableColumns count="6">
    <tableColumn id="1" xr3:uid="{A116ED91-35EA-40C4-A64D-5AA27EC8D991}" name="Task ID">
      <calculatedColumnFormula>_xlfn.CONCAT("T_",$B$16,"_",D8)</calculatedColumnFormula>
    </tableColumn>
    <tableColumn id="2" xr3:uid="{A7C5ED74-6BEE-4FA4-83F4-15FA5C35BF84}" name="Task Description" dataDxfId="0"/>
    <tableColumn id="3" xr3:uid="{1C7FB7D6-7BCB-490A-A52D-C489A785A02E}" name="Estimated Hours"/>
    <tableColumn id="4" xr3:uid="{FF9C7F59-0E8D-43EE-8B44-95A01DF08911}" name="Actual Hours"/>
    <tableColumn id="5" xr3:uid="{1F989071-B925-4FEC-A9D3-83BFDFE5FBC3}" name="Estimated Cost (CHF)"/>
    <tableColumn id="6" xr3:uid="{5A9EAC82-78D5-4034-9612-D4214F3A174C}" name="Actual Cost (CHF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321F-4F12-4C55-B1E5-94105E8379C3}">
  <dimension ref="B7:AG43"/>
  <sheetViews>
    <sheetView tabSelected="1" topLeftCell="A19" zoomScale="115" zoomScaleNormal="115" workbookViewId="0">
      <selection activeCell="J25" sqref="J25"/>
    </sheetView>
  </sheetViews>
  <sheetFormatPr defaultRowHeight="14.4" x14ac:dyDescent="0.3"/>
  <cols>
    <col min="2" max="3" width="8.88671875" customWidth="1"/>
    <col min="4" max="4" width="8.88671875" hidden="1" customWidth="1"/>
    <col min="5" max="5" width="9" customWidth="1"/>
    <col min="6" max="6" width="30" customWidth="1"/>
    <col min="7" max="7" width="16.88671875" customWidth="1"/>
    <col min="8" max="8" width="15.5546875" customWidth="1"/>
    <col min="9" max="9" width="21.21875" customWidth="1"/>
    <col min="10" max="10" width="18" customWidth="1"/>
    <col min="11" max="12" width="15.5546875" customWidth="1"/>
  </cols>
  <sheetData>
    <row r="7" spans="2:10" ht="81.599999999999994" x14ac:dyDescent="0.3">
      <c r="B7" s="1" t="s">
        <v>82</v>
      </c>
      <c r="C7" s="2" t="s">
        <v>85</v>
      </c>
      <c r="D7" s="1" t="s">
        <v>81</v>
      </c>
      <c r="E7" s="1" t="s">
        <v>0</v>
      </c>
      <c r="F7" s="1" t="s">
        <v>2</v>
      </c>
      <c r="G7" s="1" t="s">
        <v>3</v>
      </c>
      <c r="H7" s="1" t="s">
        <v>4</v>
      </c>
      <c r="I7" s="1" t="s">
        <v>6</v>
      </c>
      <c r="J7" s="1" t="s">
        <v>7</v>
      </c>
    </row>
    <row r="8" spans="2:10" ht="45" customHeight="1" x14ac:dyDescent="0.3">
      <c r="B8" s="4">
        <v>1</v>
      </c>
      <c r="C8" s="5" t="s">
        <v>83</v>
      </c>
      <c r="D8">
        <v>1</v>
      </c>
      <c r="E8" t="str">
        <f>_xlfn.CONCAT("T_",$B$8,"_",D8)</f>
        <v>T_1_1</v>
      </c>
      <c r="F8" s="3" t="s">
        <v>86</v>
      </c>
      <c r="G8">
        <v>10</v>
      </c>
      <c r="H8">
        <v>12</v>
      </c>
      <c r="I8">
        <v>0</v>
      </c>
      <c r="J8">
        <v>0</v>
      </c>
    </row>
    <row r="9" spans="2:10" ht="45" customHeight="1" x14ac:dyDescent="0.3">
      <c r="B9" s="4"/>
      <c r="C9" s="5"/>
      <c r="D9">
        <v>2</v>
      </c>
      <c r="E9" t="str">
        <f t="shared" ref="E9:E12" si="0">_xlfn.CONCAT("T_",$B$8,"_",D9)</f>
        <v>T_1_2</v>
      </c>
      <c r="F9" s="3" t="s">
        <v>87</v>
      </c>
      <c r="G9">
        <v>12</v>
      </c>
      <c r="H9">
        <v>18</v>
      </c>
      <c r="I9">
        <v>0</v>
      </c>
      <c r="J9">
        <v>0</v>
      </c>
    </row>
    <row r="10" spans="2:10" ht="45" customHeight="1" x14ac:dyDescent="0.3">
      <c r="B10" s="4"/>
      <c r="C10" s="5"/>
      <c r="D10">
        <v>3</v>
      </c>
      <c r="E10" t="str">
        <f t="shared" si="0"/>
        <v>T_1_3</v>
      </c>
      <c r="F10" s="3" t="s">
        <v>88</v>
      </c>
      <c r="G10">
        <v>4</v>
      </c>
      <c r="H10">
        <v>2</v>
      </c>
      <c r="I10">
        <v>0</v>
      </c>
      <c r="J10">
        <v>0</v>
      </c>
    </row>
    <row r="11" spans="2:10" ht="45" customHeight="1" x14ac:dyDescent="0.3">
      <c r="B11" s="4"/>
      <c r="C11" s="5"/>
      <c r="D11">
        <v>4</v>
      </c>
      <c r="E11" t="str">
        <f t="shared" si="0"/>
        <v>T_1_4</v>
      </c>
      <c r="F11" s="3" t="s">
        <v>89</v>
      </c>
      <c r="G11">
        <v>6</v>
      </c>
      <c r="H11">
        <v>2</v>
      </c>
      <c r="I11">
        <v>0</v>
      </c>
      <c r="J11">
        <v>0</v>
      </c>
    </row>
    <row r="12" spans="2:10" ht="45" customHeight="1" x14ac:dyDescent="0.3">
      <c r="B12" s="4"/>
      <c r="C12" s="5"/>
      <c r="D12">
        <v>5</v>
      </c>
      <c r="E12" t="str">
        <f t="shared" si="0"/>
        <v>T_1_5</v>
      </c>
      <c r="F12" s="3" t="s">
        <v>90</v>
      </c>
      <c r="G12">
        <v>10</v>
      </c>
      <c r="H12">
        <v>4</v>
      </c>
      <c r="I12">
        <v>0</v>
      </c>
      <c r="J12">
        <v>0</v>
      </c>
    </row>
    <row r="13" spans="2:10" ht="45" customHeight="1" x14ac:dyDescent="0.3">
      <c r="B13" s="4"/>
      <c r="C13" s="5"/>
      <c r="E13" t="str">
        <f>_xlfn.CONCAT("T_",$B$8,"_",6)</f>
        <v>T_1_6</v>
      </c>
      <c r="F13" s="3"/>
    </row>
    <row r="14" spans="2:10" ht="45" customHeight="1" x14ac:dyDescent="0.3">
      <c r="B14" s="4"/>
      <c r="C14" s="5"/>
      <c r="D14">
        <v>6</v>
      </c>
      <c r="E14" t="str">
        <f>_xlfn.CONCAT("T_",$B$8,"_",7)</f>
        <v>T_1_7</v>
      </c>
      <c r="F14" s="3"/>
    </row>
    <row r="15" spans="2:10" ht="45" customHeight="1" x14ac:dyDescent="0.3">
      <c r="B15" s="4"/>
      <c r="C15" s="5"/>
      <c r="D15">
        <v>7</v>
      </c>
      <c r="E15" t="str">
        <f>_xlfn.CONCAT("T_",$B$8,"_","TOT")</f>
        <v>T_1_TOT</v>
      </c>
      <c r="F15" s="3"/>
      <c r="G15">
        <f>SUM(G8:G14)</f>
        <v>42</v>
      </c>
      <c r="H15">
        <f>SUM(H8:H14)</f>
        <v>38</v>
      </c>
      <c r="I15">
        <f>SUM(I8:I14)</f>
        <v>0</v>
      </c>
      <c r="J15">
        <f>SUM(J8:J14)</f>
        <v>0</v>
      </c>
    </row>
    <row r="16" spans="2:10" ht="45" customHeight="1" x14ac:dyDescent="0.3">
      <c r="B16" s="4">
        <v>2</v>
      </c>
      <c r="C16" s="5" t="s">
        <v>84</v>
      </c>
      <c r="D16">
        <v>1</v>
      </c>
      <c r="E16" t="str">
        <f>_xlfn.CONCAT("T_",$B$16,"_",D16)</f>
        <v>T_2_1</v>
      </c>
      <c r="F16" s="3" t="s">
        <v>91</v>
      </c>
      <c r="G16">
        <v>8</v>
      </c>
      <c r="H16">
        <v>8</v>
      </c>
      <c r="I16">
        <v>400</v>
      </c>
    </row>
    <row r="17" spans="2:33" ht="45" customHeight="1" x14ac:dyDescent="0.3">
      <c r="B17" s="4"/>
      <c r="C17" s="5"/>
      <c r="D17">
        <v>2</v>
      </c>
      <c r="E17" t="str">
        <f t="shared" ref="E17:E30" si="1">_xlfn.CONCAT("T_",$B$16,"_",D17)</f>
        <v>T_2_2</v>
      </c>
      <c r="F17" s="3" t="s">
        <v>92</v>
      </c>
      <c r="G17">
        <v>4</v>
      </c>
      <c r="H17">
        <v>12</v>
      </c>
      <c r="I17">
        <v>400</v>
      </c>
    </row>
    <row r="18" spans="2:33" ht="45" customHeight="1" x14ac:dyDescent="0.3">
      <c r="B18" s="4"/>
      <c r="C18" s="5"/>
      <c r="D18">
        <v>3</v>
      </c>
      <c r="E18" t="str">
        <f t="shared" si="1"/>
        <v>T_2_3</v>
      </c>
      <c r="F18" s="3" t="s">
        <v>93</v>
      </c>
      <c r="G18">
        <v>2</v>
      </c>
      <c r="I18">
        <v>50</v>
      </c>
    </row>
    <row r="19" spans="2:33" ht="45" customHeight="1" x14ac:dyDescent="0.3">
      <c r="B19" s="4"/>
      <c r="C19" s="5"/>
      <c r="D19">
        <v>4</v>
      </c>
      <c r="E19" t="str">
        <f t="shared" si="1"/>
        <v>T_2_4</v>
      </c>
      <c r="F19" s="3" t="s">
        <v>94</v>
      </c>
      <c r="G19">
        <v>4</v>
      </c>
      <c r="I19">
        <v>50</v>
      </c>
      <c r="X19" t="s">
        <v>0</v>
      </c>
      <c r="Y19" t="s">
        <v>1</v>
      </c>
      <c r="Z19" t="s">
        <v>2</v>
      </c>
      <c r="AA19" t="s">
        <v>3</v>
      </c>
      <c r="AB19" t="s">
        <v>4</v>
      </c>
      <c r="AC19" t="s">
        <v>5</v>
      </c>
      <c r="AD19" t="s">
        <v>6</v>
      </c>
      <c r="AE19" t="s">
        <v>7</v>
      </c>
    </row>
    <row r="20" spans="2:33" ht="45" customHeight="1" x14ac:dyDescent="0.3">
      <c r="B20" s="4"/>
      <c r="C20" s="5"/>
      <c r="D20">
        <v>5</v>
      </c>
      <c r="E20" t="str">
        <f t="shared" si="1"/>
        <v>T_2_5</v>
      </c>
      <c r="F20" s="3" t="s">
        <v>95</v>
      </c>
      <c r="G20">
        <v>6</v>
      </c>
      <c r="I20">
        <v>100</v>
      </c>
      <c r="X20" t="s">
        <v>8</v>
      </c>
      <c r="Y20" t="s">
        <v>9</v>
      </c>
      <c r="Z20" t="s">
        <v>10</v>
      </c>
      <c r="AA20">
        <v>30</v>
      </c>
      <c r="AB20">
        <v>0</v>
      </c>
      <c r="AC20">
        <v>30</v>
      </c>
      <c r="AD20" t="s">
        <v>11</v>
      </c>
      <c r="AE20" t="s">
        <v>12</v>
      </c>
      <c r="AF20" t="s">
        <v>13</v>
      </c>
      <c r="AG20">
        <v>0</v>
      </c>
    </row>
    <row r="21" spans="2:33" ht="45" customHeight="1" x14ac:dyDescent="0.3">
      <c r="B21" s="4"/>
      <c r="C21" s="5"/>
      <c r="D21">
        <v>6</v>
      </c>
      <c r="E21" t="str">
        <f t="shared" si="1"/>
        <v>T_2_6</v>
      </c>
      <c r="F21" s="3" t="s">
        <v>96</v>
      </c>
      <c r="G21">
        <v>8</v>
      </c>
      <c r="I21">
        <v>60</v>
      </c>
      <c r="X21" t="s">
        <v>14</v>
      </c>
      <c r="Y21" t="s">
        <v>9</v>
      </c>
      <c r="Z21" t="s">
        <v>15</v>
      </c>
      <c r="AA21">
        <v>20</v>
      </c>
      <c r="AB21">
        <v>0</v>
      </c>
      <c r="AC21">
        <v>20</v>
      </c>
      <c r="AD21" t="s">
        <v>11</v>
      </c>
      <c r="AE21" t="s">
        <v>16</v>
      </c>
      <c r="AF21" t="s">
        <v>13</v>
      </c>
      <c r="AG21">
        <v>0</v>
      </c>
    </row>
    <row r="22" spans="2:33" ht="45" customHeight="1" x14ac:dyDescent="0.3">
      <c r="B22" s="4"/>
      <c r="C22" s="5"/>
      <c r="D22">
        <v>7</v>
      </c>
      <c r="E22" t="str">
        <f t="shared" si="1"/>
        <v>T_2_7</v>
      </c>
      <c r="F22" s="3" t="s">
        <v>97</v>
      </c>
      <c r="G22">
        <v>8</v>
      </c>
      <c r="I22">
        <v>100</v>
      </c>
      <c r="X22" t="s">
        <v>17</v>
      </c>
      <c r="Y22" t="s">
        <v>18</v>
      </c>
      <c r="Z22" t="s">
        <v>19</v>
      </c>
      <c r="AA22">
        <v>10</v>
      </c>
      <c r="AB22">
        <v>0</v>
      </c>
      <c r="AC22">
        <v>10</v>
      </c>
      <c r="AD22" t="s">
        <v>11</v>
      </c>
      <c r="AE22" t="s">
        <v>20</v>
      </c>
      <c r="AF22" t="s">
        <v>13</v>
      </c>
      <c r="AG22">
        <v>0</v>
      </c>
    </row>
    <row r="23" spans="2:33" ht="45" customHeight="1" x14ac:dyDescent="0.3">
      <c r="B23" s="4"/>
      <c r="C23" s="5"/>
      <c r="D23">
        <v>8</v>
      </c>
      <c r="E23" t="str">
        <f t="shared" si="1"/>
        <v>T_2_8</v>
      </c>
      <c r="F23" s="3" t="s">
        <v>98</v>
      </c>
      <c r="G23">
        <v>16</v>
      </c>
      <c r="I23">
        <v>400</v>
      </c>
      <c r="X23" t="s">
        <v>21</v>
      </c>
      <c r="Y23" t="s">
        <v>18</v>
      </c>
      <c r="Z23" t="s">
        <v>22</v>
      </c>
      <c r="AA23">
        <v>15</v>
      </c>
      <c r="AB23">
        <v>0</v>
      </c>
      <c r="AC23">
        <v>15</v>
      </c>
      <c r="AD23" t="s">
        <v>11</v>
      </c>
      <c r="AE23" t="s">
        <v>23</v>
      </c>
      <c r="AF23" t="s">
        <v>13</v>
      </c>
      <c r="AG23">
        <v>0</v>
      </c>
    </row>
    <row r="24" spans="2:33" ht="45" customHeight="1" x14ac:dyDescent="0.3">
      <c r="B24" s="4"/>
      <c r="C24" s="5"/>
      <c r="D24">
        <v>9</v>
      </c>
      <c r="E24" t="str">
        <f t="shared" si="1"/>
        <v>T_2_9</v>
      </c>
      <c r="F24" s="3" t="s">
        <v>99</v>
      </c>
      <c r="G24">
        <v>4</v>
      </c>
      <c r="I24">
        <v>100</v>
      </c>
      <c r="J24">
        <v>153</v>
      </c>
      <c r="X24" t="s">
        <v>24</v>
      </c>
      <c r="Y24" t="s">
        <v>18</v>
      </c>
      <c r="Z24" t="s">
        <v>25</v>
      </c>
      <c r="AA24">
        <v>12</v>
      </c>
      <c r="AB24">
        <v>0</v>
      </c>
      <c r="AC24">
        <v>12</v>
      </c>
      <c r="AD24" t="s">
        <v>11</v>
      </c>
      <c r="AE24" t="s">
        <v>26</v>
      </c>
      <c r="AF24" t="s">
        <v>13</v>
      </c>
      <c r="AG24">
        <v>0</v>
      </c>
    </row>
    <row r="25" spans="2:33" ht="45" customHeight="1" x14ac:dyDescent="0.3">
      <c r="B25" s="4"/>
      <c r="C25" s="5"/>
      <c r="D25">
        <v>10</v>
      </c>
      <c r="E25" t="str">
        <f t="shared" si="1"/>
        <v>T_2_10</v>
      </c>
      <c r="F25" s="3"/>
      <c r="X25" t="s">
        <v>27</v>
      </c>
      <c r="Y25" t="s">
        <v>28</v>
      </c>
      <c r="Z25" t="s">
        <v>29</v>
      </c>
      <c r="AA25">
        <v>15</v>
      </c>
      <c r="AB25">
        <v>0</v>
      </c>
      <c r="AC25">
        <v>15</v>
      </c>
      <c r="AD25" t="s">
        <v>11</v>
      </c>
      <c r="AE25" t="s">
        <v>30</v>
      </c>
      <c r="AF25" t="s">
        <v>13</v>
      </c>
      <c r="AG25">
        <v>0</v>
      </c>
    </row>
    <row r="26" spans="2:33" ht="45" customHeight="1" x14ac:dyDescent="0.3">
      <c r="B26" s="4"/>
      <c r="C26" s="5"/>
      <c r="D26">
        <v>11</v>
      </c>
      <c r="E26" t="str">
        <f t="shared" si="1"/>
        <v>T_2_11</v>
      </c>
      <c r="F26" s="3"/>
      <c r="X26" t="s">
        <v>31</v>
      </c>
      <c r="Y26" t="s">
        <v>28</v>
      </c>
      <c r="Z26" t="s">
        <v>32</v>
      </c>
      <c r="AA26">
        <v>8</v>
      </c>
      <c r="AB26">
        <v>0</v>
      </c>
      <c r="AC26">
        <v>8</v>
      </c>
      <c r="AD26" t="s">
        <v>11</v>
      </c>
      <c r="AE26" t="s">
        <v>33</v>
      </c>
      <c r="AF26" t="s">
        <v>13</v>
      </c>
      <c r="AG26">
        <v>0</v>
      </c>
    </row>
    <row r="27" spans="2:33" ht="45" customHeight="1" x14ac:dyDescent="0.3">
      <c r="B27" s="4"/>
      <c r="C27" s="5"/>
      <c r="D27">
        <v>12</v>
      </c>
      <c r="E27" t="str">
        <f t="shared" si="1"/>
        <v>T_2_12</v>
      </c>
      <c r="F27" s="3"/>
      <c r="X27" t="s">
        <v>34</v>
      </c>
      <c r="Y27" t="s">
        <v>35</v>
      </c>
      <c r="Z27" t="s">
        <v>36</v>
      </c>
      <c r="AA27">
        <v>25</v>
      </c>
      <c r="AB27">
        <v>0</v>
      </c>
      <c r="AC27">
        <v>25</v>
      </c>
      <c r="AD27" t="s">
        <v>11</v>
      </c>
      <c r="AE27" t="s">
        <v>37</v>
      </c>
      <c r="AF27" t="s">
        <v>13</v>
      </c>
      <c r="AG27">
        <v>0</v>
      </c>
    </row>
    <row r="28" spans="2:33" ht="45" customHeight="1" x14ac:dyDescent="0.3">
      <c r="B28" s="4"/>
      <c r="C28" s="5"/>
      <c r="D28">
        <v>13</v>
      </c>
      <c r="E28" t="str">
        <f t="shared" si="1"/>
        <v>T_2_13</v>
      </c>
      <c r="F28" s="3"/>
      <c r="X28" t="s">
        <v>38</v>
      </c>
      <c r="Y28" t="s">
        <v>35</v>
      </c>
      <c r="Z28" t="s">
        <v>39</v>
      </c>
      <c r="AA28">
        <v>20</v>
      </c>
      <c r="AB28">
        <v>0</v>
      </c>
      <c r="AC28">
        <v>20</v>
      </c>
      <c r="AD28" t="s">
        <v>11</v>
      </c>
      <c r="AE28" t="s">
        <v>40</v>
      </c>
      <c r="AF28" t="s">
        <v>13</v>
      </c>
      <c r="AG28">
        <v>0</v>
      </c>
    </row>
    <row r="29" spans="2:33" ht="45" customHeight="1" x14ac:dyDescent="0.3">
      <c r="B29" s="4"/>
      <c r="C29" s="5"/>
      <c r="D29">
        <v>14</v>
      </c>
      <c r="E29" t="str">
        <f t="shared" ref="E29" si="2">_xlfn.CONCAT("T_",$B$16,"_",D29)</f>
        <v>T_2_14</v>
      </c>
      <c r="F29" s="3"/>
      <c r="X29" t="s">
        <v>41</v>
      </c>
      <c r="Y29" t="s">
        <v>42</v>
      </c>
      <c r="Z29" t="s">
        <v>43</v>
      </c>
      <c r="AA29">
        <v>40</v>
      </c>
      <c r="AB29">
        <v>0</v>
      </c>
      <c r="AC29">
        <v>40</v>
      </c>
      <c r="AD29" t="s">
        <v>11</v>
      </c>
      <c r="AE29" t="s">
        <v>44</v>
      </c>
      <c r="AF29" t="s">
        <v>13</v>
      </c>
      <c r="AG29">
        <v>0</v>
      </c>
    </row>
    <row r="30" spans="2:33" ht="45" customHeight="1" x14ac:dyDescent="0.3">
      <c r="B30" s="4"/>
      <c r="C30" s="5"/>
      <c r="D30">
        <v>14</v>
      </c>
      <c r="E30" t="str">
        <f>_xlfn.CONCAT("T_",$B$16,"_","TOT")</f>
        <v>T_2_TOT</v>
      </c>
      <c r="F30" s="3"/>
      <c r="G30">
        <f>SUM(G16:G29)</f>
        <v>60</v>
      </c>
      <c r="H30">
        <f t="shared" ref="H30:J30" si="3">SUM(H16:H29)</f>
        <v>20</v>
      </c>
      <c r="I30">
        <f t="shared" si="3"/>
        <v>1660</v>
      </c>
      <c r="J30">
        <f t="shared" si="3"/>
        <v>153</v>
      </c>
      <c r="X30" t="s">
        <v>41</v>
      </c>
      <c r="Y30" t="s">
        <v>42</v>
      </c>
      <c r="Z30" t="s">
        <v>43</v>
      </c>
      <c r="AA30">
        <v>40</v>
      </c>
      <c r="AB30">
        <v>0</v>
      </c>
      <c r="AC30">
        <v>40</v>
      </c>
      <c r="AD30" t="s">
        <v>11</v>
      </c>
      <c r="AE30" t="s">
        <v>44</v>
      </c>
      <c r="AF30" t="s">
        <v>13</v>
      </c>
      <c r="AG30">
        <v>0</v>
      </c>
    </row>
    <row r="31" spans="2:33" x14ac:dyDescent="0.3">
      <c r="X31" t="s">
        <v>45</v>
      </c>
      <c r="Z31" t="s">
        <v>46</v>
      </c>
      <c r="AA31">
        <v>195</v>
      </c>
      <c r="AB31">
        <v>0</v>
      </c>
      <c r="AC31">
        <v>195</v>
      </c>
      <c r="AD31" t="s">
        <v>11</v>
      </c>
      <c r="AE31">
        <v>0</v>
      </c>
    </row>
    <row r="33" spans="24:33" x14ac:dyDescent="0.3">
      <c r="X33" t="s">
        <v>11</v>
      </c>
    </row>
    <row r="35" spans="24:33" x14ac:dyDescent="0.3">
      <c r="X35" t="s">
        <v>47</v>
      </c>
      <c r="Y35" t="s">
        <v>48</v>
      </c>
      <c r="Z35" t="s">
        <v>49</v>
      </c>
      <c r="AA35" t="s">
        <v>50</v>
      </c>
      <c r="AB35" t="s">
        <v>51</v>
      </c>
      <c r="AC35" t="s">
        <v>52</v>
      </c>
      <c r="AD35" t="s">
        <v>53</v>
      </c>
      <c r="AE35" t="s">
        <v>54</v>
      </c>
    </row>
    <row r="36" spans="24:33" x14ac:dyDescent="0.3">
      <c r="X36" t="s">
        <v>55</v>
      </c>
      <c r="Y36" t="s">
        <v>56</v>
      </c>
      <c r="Z36" t="s">
        <v>57</v>
      </c>
      <c r="AA36">
        <v>3</v>
      </c>
      <c r="AB36">
        <v>120</v>
      </c>
      <c r="AC36">
        <v>0</v>
      </c>
      <c r="AD36" t="s">
        <v>27</v>
      </c>
      <c r="AE36" t="s">
        <v>58</v>
      </c>
    </row>
    <row r="37" spans="24:33" x14ac:dyDescent="0.3">
      <c r="X37" t="s">
        <v>59</v>
      </c>
      <c r="Y37" t="s">
        <v>60</v>
      </c>
      <c r="Z37" t="s">
        <v>61</v>
      </c>
      <c r="AA37">
        <v>1</v>
      </c>
      <c r="AB37">
        <v>90</v>
      </c>
      <c r="AC37">
        <v>0</v>
      </c>
      <c r="AD37" t="s">
        <v>17</v>
      </c>
      <c r="AE37" t="s">
        <v>62</v>
      </c>
    </row>
    <row r="38" spans="24:33" x14ac:dyDescent="0.3">
      <c r="X38" t="s">
        <v>63</v>
      </c>
      <c r="Y38" t="s">
        <v>64</v>
      </c>
      <c r="Z38" t="s">
        <v>61</v>
      </c>
      <c r="AA38">
        <v>1</v>
      </c>
      <c r="AB38">
        <v>45</v>
      </c>
      <c r="AC38">
        <v>0</v>
      </c>
      <c r="AD38" t="s">
        <v>21</v>
      </c>
      <c r="AE38" t="s">
        <v>62</v>
      </c>
    </row>
    <row r="39" spans="24:33" x14ac:dyDescent="0.3">
      <c r="X39" t="s">
        <v>65</v>
      </c>
      <c r="Y39" t="s">
        <v>66</v>
      </c>
      <c r="Z39" t="s">
        <v>67</v>
      </c>
      <c r="AA39">
        <v>1</v>
      </c>
      <c r="AB39">
        <v>50</v>
      </c>
      <c r="AC39">
        <v>0</v>
      </c>
      <c r="AD39" t="s">
        <v>24</v>
      </c>
      <c r="AE39" t="s">
        <v>62</v>
      </c>
    </row>
    <row r="40" spans="24:33" x14ac:dyDescent="0.3">
      <c r="X40" t="s">
        <v>68</v>
      </c>
      <c r="Y40" t="s">
        <v>69</v>
      </c>
      <c r="Z40" t="s">
        <v>70</v>
      </c>
      <c r="AA40">
        <v>1</v>
      </c>
      <c r="AB40">
        <v>65</v>
      </c>
      <c r="AC40">
        <v>0</v>
      </c>
      <c r="AD40" t="s">
        <v>27</v>
      </c>
      <c r="AE40" t="s">
        <v>62</v>
      </c>
    </row>
    <row r="41" spans="24:33" x14ac:dyDescent="0.3">
      <c r="X41" t="s">
        <v>71</v>
      </c>
      <c r="Y41" t="s">
        <v>72</v>
      </c>
      <c r="Z41" t="s">
        <v>70</v>
      </c>
      <c r="AA41">
        <v>1</v>
      </c>
      <c r="AB41">
        <v>25</v>
      </c>
      <c r="AC41">
        <v>0</v>
      </c>
      <c r="AD41" t="s">
        <v>31</v>
      </c>
      <c r="AE41" t="s">
        <v>62</v>
      </c>
    </row>
    <row r="42" spans="24:33" x14ac:dyDescent="0.3">
      <c r="X42" t="s">
        <v>73</v>
      </c>
      <c r="Y42" t="s">
        <v>74</v>
      </c>
      <c r="Z42" t="s">
        <v>75</v>
      </c>
      <c r="AA42">
        <v>4</v>
      </c>
      <c r="AB42">
        <v>5</v>
      </c>
      <c r="AC42">
        <v>0</v>
      </c>
      <c r="AD42" t="s">
        <v>34</v>
      </c>
      <c r="AE42" t="s">
        <v>62</v>
      </c>
    </row>
    <row r="43" spans="24:33" x14ac:dyDescent="0.3">
      <c r="X43" t="s">
        <v>76</v>
      </c>
      <c r="Y43" t="s">
        <v>77</v>
      </c>
      <c r="Z43" t="s">
        <v>78</v>
      </c>
      <c r="AA43" t="s">
        <v>79</v>
      </c>
      <c r="AB43" t="s">
        <v>80</v>
      </c>
      <c r="AC43">
        <v>1</v>
      </c>
      <c r="AD43">
        <v>20</v>
      </c>
      <c r="AE43">
        <v>0</v>
      </c>
      <c r="AF43" t="s">
        <v>17</v>
      </c>
      <c r="AG43" t="s">
        <v>62</v>
      </c>
    </row>
  </sheetData>
  <mergeCells count="4">
    <mergeCell ref="B8:B15"/>
    <mergeCell ref="C8:C15"/>
    <mergeCell ref="B16:B30"/>
    <mergeCell ref="C16:C30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Rowlings</dc:creator>
  <cp:lastModifiedBy>Louis Rowlings</cp:lastModifiedBy>
  <dcterms:created xsi:type="dcterms:W3CDTF">2026-05-16T08:20:57Z</dcterms:created>
  <dcterms:modified xsi:type="dcterms:W3CDTF">2026-05-18T07:24:52Z</dcterms:modified>
</cp:coreProperties>
</file>