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a2a7c1b97a5dd47/Desktop/R_Trident/02_CAD/00_Skeleton/"/>
    </mc:Choice>
  </mc:AlternateContent>
  <xr:revisionPtr revIDLastSave="278" documentId="11_F25DC773A252ABDACC1048FDB19D70D45BDE58ED" xr6:coauthVersionLast="47" xr6:coauthVersionMax="47" xr10:uidLastSave="{8A5F1583-F977-4CFB-A313-EED4E13099A9}"/>
  <bookViews>
    <workbookView xWindow="-108" yWindow="-108" windowWidth="23256" windowHeight="14616" activeTab="2" xr2:uid="{00000000-000D-0000-FFFF-FFFF00000000}"/>
  </bookViews>
  <sheets>
    <sheet name="Dimensions" sheetId="1" r:id="rId1"/>
    <sheet name="Motor" sheetId="2" r:id="rId2"/>
    <sheet name="Sheet1" sheetId="3" r:id="rId3"/>
  </sheets>
  <definedNames>
    <definedName name="Lb">Dimensions!$D$2</definedName>
    <definedName name="Lf">Dimensions!$D$3</definedName>
    <definedName name="Rd">Dimensions!$D$6</definedName>
    <definedName name="Re">Dimensions!$D$5</definedName>
    <definedName name="Rmax">Dimensions!$D$7</definedName>
    <definedName name="Rs">Dimensions!$D$4</definedName>
    <definedName name="Zmin">Dimensions!$D$8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W13" i="3"/>
  <c r="X13" i="3"/>
  <c r="Y13" i="3"/>
  <c r="Z13" i="3"/>
  <c r="AA13" i="3"/>
  <c r="AB13" i="3"/>
  <c r="AC13" i="3"/>
  <c r="AD13" i="3"/>
  <c r="AE13" i="3"/>
  <c r="AF13" i="3"/>
  <c r="W14" i="3"/>
  <c r="X14" i="3"/>
  <c r="Y14" i="3"/>
  <c r="Z14" i="3"/>
  <c r="AA14" i="3"/>
  <c r="AB14" i="3"/>
  <c r="AC14" i="3"/>
  <c r="AD14" i="3"/>
  <c r="AE14" i="3"/>
  <c r="AF14" i="3"/>
  <c r="W15" i="3"/>
  <c r="X15" i="3"/>
  <c r="Y15" i="3"/>
  <c r="Z15" i="3"/>
  <c r="AA15" i="3"/>
  <c r="AB15" i="3"/>
  <c r="AC15" i="3"/>
  <c r="AD15" i="3"/>
  <c r="AE15" i="3"/>
  <c r="AF15" i="3"/>
  <c r="W16" i="3"/>
  <c r="X16" i="3"/>
  <c r="Y16" i="3"/>
  <c r="Z16" i="3"/>
  <c r="AA16" i="3"/>
  <c r="AB16" i="3"/>
  <c r="AC16" i="3"/>
  <c r="AD16" i="3"/>
  <c r="AE16" i="3"/>
  <c r="AF16" i="3"/>
  <c r="W17" i="3"/>
  <c r="X17" i="3"/>
  <c r="Y17" i="3"/>
  <c r="Z17" i="3"/>
  <c r="AA17" i="3"/>
  <c r="AB17" i="3"/>
  <c r="AC17" i="3"/>
  <c r="AD17" i="3"/>
  <c r="AE17" i="3"/>
  <c r="AF17" i="3"/>
  <c r="G10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D13" i="3"/>
  <c r="D7" i="1"/>
  <c r="D8" i="1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D6" i="1"/>
</calcChain>
</file>

<file path=xl/sharedStrings.xml><?xml version="1.0" encoding="utf-8"?>
<sst xmlns="http://schemas.openxmlformats.org/spreadsheetml/2006/main" count="64" uniqueCount="48">
  <si>
    <t>Category</t>
  </si>
  <si>
    <t>Parameter</t>
  </si>
  <si>
    <t>Symbol</t>
  </si>
  <si>
    <t>Value</t>
  </si>
  <si>
    <t>Unit</t>
  </si>
  <si>
    <t>Note</t>
  </si>
  <si>
    <t>Input</t>
  </si>
  <si>
    <t>Calculation</t>
  </si>
  <si>
    <t>Bicep Length</t>
  </si>
  <si>
    <t>Forearm Length</t>
  </si>
  <si>
    <t>Effector Radius</t>
  </si>
  <si>
    <t>Delta Radius</t>
  </si>
  <si>
    <t>Max Reach</t>
  </si>
  <si>
    <t>Min Z</t>
  </si>
  <si>
    <t>Lb</t>
  </si>
  <si>
    <t>Lf</t>
  </si>
  <si>
    <t>Re</t>
  </si>
  <si>
    <t>Rd</t>
  </si>
  <si>
    <t>Rs</t>
  </si>
  <si>
    <t>Rmax</t>
  </si>
  <si>
    <t>Zmin</t>
  </si>
  <si>
    <t>Effector Mass</t>
  </si>
  <si>
    <t>Angle</t>
  </si>
  <si>
    <t>[deg]</t>
  </si>
  <si>
    <t>Torque</t>
  </si>
  <si>
    <t>[Nm]</t>
  </si>
  <si>
    <t>[kg]</t>
  </si>
  <si>
    <t>mm</t>
  </si>
  <si>
    <t>Center of motor to center of joint</t>
  </si>
  <si>
    <t>Center of joint to center of joint</t>
  </si>
  <si>
    <t>Printer center to Motor center</t>
  </si>
  <si>
    <t>Effector center to Joint center</t>
  </si>
  <si>
    <t>The horizontal offset</t>
  </si>
  <si>
    <t>Maximum build plate radius</t>
  </si>
  <si>
    <t>Deepest reach</t>
  </si>
  <si>
    <t>Shoulder Radius</t>
  </si>
  <si>
    <t>Effector</t>
  </si>
  <si>
    <t>Motor</t>
  </si>
  <si>
    <t>Hmax</t>
  </si>
  <si>
    <t>Frame Height</t>
  </si>
  <si>
    <t xml:space="preserve">Maximum frame height </t>
  </si>
  <si>
    <t>Motor Torque</t>
  </si>
  <si>
    <t>Linkage Length</t>
  </si>
  <si>
    <t>Diameter Ext</t>
  </si>
  <si>
    <t>Thickness</t>
  </si>
  <si>
    <t>Rp0.2</t>
  </si>
  <si>
    <t>m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</si>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</sst>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11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Motor!$E$16</c:f>
              <c:strCache>
                <c:ptCount val="1"/>
                <c:pt idx="0">
                  <c:v>Torque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Motor!$D$18:$D$54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</c:numCache>
            </c:numRef>
          </c:cat>
          <c:val>
            <c:numRef>
              <c:f>Motor!$E$18:$E$54</c:f>
              <c:numCache>
                <c:formatCode>General</c:formatCode>
                <c:ptCount val="37"/>
                <c:pt idx="0">
                  <c:v>0.73575000000000002</c:v>
                </c:pt>
                <c:pt idx="1">
                  <c:v>0.73295024912100182</c:v>
                </c:pt>
                <c:pt idx="2">
                  <c:v>0.72457230427873198</c:v>
                </c:pt>
                <c:pt idx="3">
                  <c:v>0.71067992669218205</c:v>
                </c:pt>
                <c:pt idx="4">
                  <c:v>0.69137884574323205</c:v>
                </c:pt>
                <c:pt idx="5">
                  <c:v>0.66681595431221519</c:v>
                </c:pt>
                <c:pt idx="6">
                  <c:v>0.63717819083440086</c:v>
                </c:pt>
                <c:pt idx="7">
                  <c:v>0.60269111658562569</c:v>
                </c:pt>
                <c:pt idx="8">
                  <c:v>0.56361719902478813</c:v>
                </c:pt>
                <c:pt idx="9">
                  <c:v>0.52025381425800232</c:v>
                </c:pt>
                <c:pt idx="10">
                  <c:v>0.47293098382687132</c:v>
                </c:pt>
                <c:pt idx="11">
                  <c:v>0.42200886304528218</c:v>
                </c:pt>
                <c:pt idx="12">
                  <c:v>0.36787500000000006</c:v>
                </c:pt>
                <c:pt idx="13">
                  <c:v>0.31094138607571964</c:v>
                </c:pt>
                <c:pt idx="14">
                  <c:v>0.25164132045186083</c:v>
                </c:pt>
                <c:pt idx="15">
                  <c:v>0.19042611243417965</c:v>
                </c:pt>
                <c:pt idx="16">
                  <c:v>0.12776164671844406</c:v>
                </c:pt>
                <c:pt idx="17">
                  <c:v>6.4124837726589473E-2</c:v>
                </c:pt>
                <c:pt idx="18">
                  <c:v>4.5070148784950861E-17</c:v>
                </c:pt>
                <c:pt idx="19">
                  <c:v>6.4124837726589556E-2</c:v>
                </c:pt>
                <c:pt idx="20">
                  <c:v>0.12776164671844398</c:v>
                </c:pt>
                <c:pt idx="21">
                  <c:v>0.1904261124341797</c:v>
                </c:pt>
                <c:pt idx="22">
                  <c:v>0.25164132045186077</c:v>
                </c:pt>
                <c:pt idx="23">
                  <c:v>0.31094138607571953</c:v>
                </c:pt>
                <c:pt idx="24">
                  <c:v>0.3678749999999999</c:v>
                </c:pt>
                <c:pt idx="25">
                  <c:v>0.42200886304528218</c:v>
                </c:pt>
                <c:pt idx="26">
                  <c:v>0.47293098382687132</c:v>
                </c:pt>
                <c:pt idx="27">
                  <c:v>0.52025381425800232</c:v>
                </c:pt>
                <c:pt idx="28">
                  <c:v>0.56361719902478802</c:v>
                </c:pt>
                <c:pt idx="29">
                  <c:v>0.6026911165856258</c:v>
                </c:pt>
                <c:pt idx="30">
                  <c:v>0.63717819083440086</c:v>
                </c:pt>
                <c:pt idx="31">
                  <c:v>0.66681595431221519</c:v>
                </c:pt>
                <c:pt idx="32">
                  <c:v>0.69137884574323205</c:v>
                </c:pt>
                <c:pt idx="33">
                  <c:v>0.71067992669218194</c:v>
                </c:pt>
                <c:pt idx="34">
                  <c:v>0.72457230427873198</c:v>
                </c:pt>
                <c:pt idx="35">
                  <c:v>0.73295024912100182</c:v>
                </c:pt>
                <c:pt idx="36">
                  <c:v>0.73575000000000002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4C-49DE-B45C-67FE8291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31559744"/>
        <c:axId val="644854832"/>
      </c:lineChart>
      <c:catAx>
        <c:axId val="73155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44854832"/>
        <c:crosses val="autoZero"/>
        <c:auto val="1"/>
        <c:lblAlgn val="ctr"/>
        <c:lblOffset val="100"/>
        <c:noMultiLvlLbl val="0"/>
      </c:catAx>
      <c:valAx>
        <c:axId val="64485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315597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428625</xdr:colOff>
      <xdr:row>21</xdr:row>
      <xdr:rowOff>23812</xdr:rowOff>
    </xdr:from>
    <xdr:to>
      <xdr:col>22</xdr:col>
      <xdr:colOff>123825</xdr:colOff>
      <xdr:row>35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933D5-A6DD-B7B9-3ABD-0749D997F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CAA55-9C60-4950-911D-F1B35662CE5D}" name="Table1" displayName="Table1" ref="A1:F1048576" totalsRowShown="0">
  <autoFilter ref="A1:F1048576" xr:uid="{586CAA55-9C60-4950-911D-F1B35662CE5D}"/>
  <tableColumns count="6">
    <tableColumn id="1" xr3:uid="{4A3BEFD1-6C59-45A2-89C2-17BFC62CD0A4}" name="Category"/>
    <tableColumn id="2" xr3:uid="{27951BC6-E289-44F2-9AC3-4EFD77929C18}" name="Parameter" dataDxfId="6"/>
    <tableColumn id="3" xr3:uid="{C89466AB-4484-4EE7-AB15-6442AB3E9882}" name="Symbol" dataDxfId="5"/>
    <tableColumn id="4" xr3:uid="{5242EAE4-9214-4D8C-8224-C7AAA10DF923}" name="Value"/>
    <tableColumn id="5" xr3:uid="{1BBA985D-5852-433D-A439-E3EBE0098B3D}" name="Unit" dataDxfId="4"/>
    <tableColumn id="6" xr3:uid="{EB5AE05E-3C14-430D-AEC5-583EA77A48A5}" name="Not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D13" sqref="D13"/>
    </sheetView>
  </sheetViews>
  <sheetFormatPr defaultRowHeight="14.4" x14ac:dyDescent="0.3"/>
  <cols>
    <col min="1" max="1" width="17.5546875" customWidth="1"/>
    <col min="2" max="2" width="15.44140625" style="2" bestFit="1" customWidth="1"/>
    <col min="3" max="3" width="12.6640625" style="1" customWidth="1"/>
    <col min="4" max="4" width="9.5546875" customWidth="1"/>
    <col min="5" max="5" width="13.44140625" style="1" customWidth="1"/>
    <col min="6" max="6" width="38.33203125" customWidth="1"/>
  </cols>
  <sheetData>
    <row r="1" spans="1:6" x14ac:dyDescent="0.3">
      <c r="A1" t="s">
        <v>0</v>
      </c>
      <c r="B1" s="2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 x14ac:dyDescent="0.3">
      <c r="A2" t="s">
        <v>6</v>
      </c>
      <c r="B2" s="2" t="s">
        <v>8</v>
      </c>
      <c r="C2" s="1" t="s">
        <v>14</v>
      </c>
      <c r="D2">
        <v>150</v>
      </c>
      <c r="E2" s="1" t="s">
        <v>27</v>
      </c>
      <c r="F2" t="s">
        <v>28</v>
      </c>
    </row>
    <row r="3" spans="1:6" x14ac:dyDescent="0.3">
      <c r="A3" t="s">
        <v>6</v>
      </c>
      <c r="B3" s="2" t="s">
        <v>9</v>
      </c>
      <c r="C3" s="1" t="s">
        <v>15</v>
      </c>
      <c r="D3">
        <v>300</v>
      </c>
      <c r="E3" s="1" t="s">
        <v>27</v>
      </c>
      <c r="F3" t="s">
        <v>29</v>
      </c>
    </row>
    <row r="4" spans="1:6" x14ac:dyDescent="0.3">
      <c r="A4" t="s">
        <v>6</v>
      </c>
      <c r="B4" s="2" t="s">
        <v>35</v>
      </c>
      <c r="C4" s="1" t="s">
        <v>18</v>
      </c>
      <c r="D4">
        <v>100</v>
      </c>
      <c r="E4" s="1" t="s">
        <v>27</v>
      </c>
      <c r="F4" t="s">
        <v>30</v>
      </c>
    </row>
    <row r="5" spans="1:6" x14ac:dyDescent="0.3">
      <c r="A5" t="s">
        <v>6</v>
      </c>
      <c r="B5" s="2" t="s">
        <v>10</v>
      </c>
      <c r="C5" s="1" t="s">
        <v>16</v>
      </c>
      <c r="D5">
        <v>30</v>
      </c>
      <c r="E5" s="1" t="s">
        <v>27</v>
      </c>
      <c r="F5" t="s">
        <v>31</v>
      </c>
    </row>
    <row r="6" spans="1:6" x14ac:dyDescent="0.3">
      <c r="A6" t="s">
        <v>7</v>
      </c>
      <c r="B6" s="2" t="s">
        <v>11</v>
      </c>
      <c r="C6" s="1" t="s">
        <v>17</v>
      </c>
      <c r="D6">
        <f>D4-D5</f>
        <v>70</v>
      </c>
      <c r="E6" s="1" t="s">
        <v>27</v>
      </c>
      <c r="F6" t="s">
        <v>32</v>
      </c>
    </row>
    <row r="7" spans="1:6" x14ac:dyDescent="0.3">
      <c r="A7" t="s">
        <v>7</v>
      </c>
      <c r="B7" s="2" t="s">
        <v>12</v>
      </c>
      <c r="C7" s="1" t="s">
        <v>19</v>
      </c>
      <c r="D7">
        <f>(D3+D4-D6)/2</f>
        <v>165</v>
      </c>
      <c r="E7" s="1" t="s">
        <v>27</v>
      </c>
      <c r="F7" t="s">
        <v>33</v>
      </c>
    </row>
    <row r="8" spans="1:6" x14ac:dyDescent="0.3">
      <c r="A8" t="s">
        <v>7</v>
      </c>
      <c r="B8" s="2" t="s">
        <v>13</v>
      </c>
      <c r="C8" s="1" t="s">
        <v>20</v>
      </c>
      <c r="D8">
        <f>ABS(-D3-D2)</f>
        <v>450</v>
      </c>
      <c r="E8" s="1" t="s">
        <v>27</v>
      </c>
      <c r="F8" t="s">
        <v>34</v>
      </c>
    </row>
    <row r="9" spans="1:6" x14ac:dyDescent="0.3">
      <c r="A9" t="s">
        <v>6</v>
      </c>
      <c r="B9" t="s">
        <v>39</v>
      </c>
      <c r="C9" s="1" t="s">
        <v>38</v>
      </c>
      <c r="D9">
        <v>500</v>
      </c>
      <c r="E9" s="1" t="s">
        <v>27</v>
      </c>
      <c r="F9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48D6-411E-4162-BD59-726D769B6588}">
  <dimension ref="D4:Q54"/>
  <sheetViews>
    <sheetView topLeftCell="A4" workbookViewId="0">
      <selection activeCell="E13" sqref="E13"/>
    </sheetView>
  </sheetViews>
  <sheetFormatPr defaultRowHeight="14.4" x14ac:dyDescent="0.3"/>
  <sheetData>
    <row r="4" spans="4:17" x14ac:dyDescent="0.3">
      <c r="E4" s="3" t="s">
        <v>36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4:17" x14ac:dyDescent="0.3">
      <c r="E5" t="s">
        <v>21</v>
      </c>
    </row>
    <row r="6" spans="4:17" x14ac:dyDescent="0.3">
      <c r="E6" t="s">
        <v>26</v>
      </c>
    </row>
    <row r="7" spans="4:17" x14ac:dyDescent="0.3">
      <c r="E7">
        <v>0.5</v>
      </c>
    </row>
    <row r="10" spans="4:17" x14ac:dyDescent="0.3">
      <c r="E10" s="3" t="s">
        <v>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4:17" x14ac:dyDescent="0.3">
      <c r="E11" t="s">
        <v>24</v>
      </c>
    </row>
    <row r="12" spans="4:17" x14ac:dyDescent="0.3">
      <c r="E12" t="s">
        <v>25</v>
      </c>
    </row>
    <row r="13" spans="4:17" x14ac:dyDescent="0.3">
      <c r="E13">
        <v>1</v>
      </c>
    </row>
    <row r="16" spans="4:17" x14ac:dyDescent="0.3">
      <c r="D16" t="s">
        <v>22</v>
      </c>
      <c r="E16" t="s">
        <v>24</v>
      </c>
    </row>
    <row r="17" spans="4:5" x14ac:dyDescent="0.3">
      <c r="D17" t="s">
        <v>23</v>
      </c>
      <c r="E17" t="s">
        <v>25</v>
      </c>
    </row>
    <row r="18" spans="4:5" x14ac:dyDescent="0.3">
      <c r="D18">
        <v>0</v>
      </c>
      <c r="E18">
        <f t="shared" ref="E18:E54" si="0">ABS(($E$7*9.81)*(Lb*(1/1000)*COS(RADIANS(D18))))</f>
        <v>0.73575000000000002</v>
      </c>
    </row>
    <row r="19" spans="4:5" x14ac:dyDescent="0.3">
      <c r="D19">
        <v>5</v>
      </c>
      <c r="E19">
        <f t="shared" si="0"/>
        <v>0.73295024912100182</v>
      </c>
    </row>
    <row r="20" spans="4:5" x14ac:dyDescent="0.3">
      <c r="D20">
        <v>10</v>
      </c>
      <c r="E20">
        <f t="shared" si="0"/>
        <v>0.72457230427873198</v>
      </c>
    </row>
    <row r="21" spans="4:5" x14ac:dyDescent="0.3">
      <c r="D21">
        <v>15</v>
      </c>
      <c r="E21">
        <f t="shared" si="0"/>
        <v>0.71067992669218205</v>
      </c>
    </row>
    <row r="22" spans="4:5" x14ac:dyDescent="0.3">
      <c r="D22">
        <v>20</v>
      </c>
      <c r="E22">
        <f t="shared" si="0"/>
        <v>0.69137884574323205</v>
      </c>
    </row>
    <row r="23" spans="4:5" x14ac:dyDescent="0.3">
      <c r="D23">
        <v>25</v>
      </c>
      <c r="E23">
        <f t="shared" si="0"/>
        <v>0.66681595431221519</v>
      </c>
    </row>
    <row r="24" spans="4:5" x14ac:dyDescent="0.3">
      <c r="D24">
        <v>30</v>
      </c>
      <c r="E24">
        <f t="shared" si="0"/>
        <v>0.63717819083440086</v>
      </c>
    </row>
    <row r="25" spans="4:5" x14ac:dyDescent="0.3">
      <c r="D25">
        <v>35</v>
      </c>
      <c r="E25">
        <f t="shared" si="0"/>
        <v>0.60269111658562569</v>
      </c>
    </row>
    <row r="26" spans="4:5" x14ac:dyDescent="0.3">
      <c r="D26">
        <v>40</v>
      </c>
      <c r="E26">
        <f t="shared" si="0"/>
        <v>0.56361719902478813</v>
      </c>
    </row>
    <row r="27" spans="4:5" x14ac:dyDescent="0.3">
      <c r="D27">
        <v>45</v>
      </c>
      <c r="E27">
        <f t="shared" si="0"/>
        <v>0.52025381425800232</v>
      </c>
    </row>
    <row r="28" spans="4:5" x14ac:dyDescent="0.3">
      <c r="D28">
        <v>50</v>
      </c>
      <c r="E28">
        <f t="shared" si="0"/>
        <v>0.47293098382687132</v>
      </c>
    </row>
    <row r="29" spans="4:5" x14ac:dyDescent="0.3">
      <c r="D29">
        <v>55</v>
      </c>
      <c r="E29">
        <f t="shared" si="0"/>
        <v>0.42200886304528218</v>
      </c>
    </row>
    <row r="30" spans="4:5" x14ac:dyDescent="0.3">
      <c r="D30">
        <v>60</v>
      </c>
      <c r="E30">
        <f t="shared" si="0"/>
        <v>0.36787500000000006</v>
      </c>
    </row>
    <row r="31" spans="4:5" x14ac:dyDescent="0.3">
      <c r="D31">
        <v>65</v>
      </c>
      <c r="E31">
        <f t="shared" si="0"/>
        <v>0.31094138607571964</v>
      </c>
    </row>
    <row r="32" spans="4:5" x14ac:dyDescent="0.3">
      <c r="D32">
        <v>70</v>
      </c>
      <c r="E32">
        <f t="shared" si="0"/>
        <v>0.25164132045186083</v>
      </c>
    </row>
    <row r="33" spans="4:5" x14ac:dyDescent="0.3">
      <c r="D33">
        <v>75</v>
      </c>
      <c r="E33">
        <f t="shared" si="0"/>
        <v>0.19042611243417965</v>
      </c>
    </row>
    <row r="34" spans="4:5" x14ac:dyDescent="0.3">
      <c r="D34">
        <v>80</v>
      </c>
      <c r="E34">
        <f t="shared" si="0"/>
        <v>0.12776164671844406</v>
      </c>
    </row>
    <row r="35" spans="4:5" x14ac:dyDescent="0.3">
      <c r="D35">
        <v>85</v>
      </c>
      <c r="E35">
        <f t="shared" si="0"/>
        <v>6.4124837726589473E-2</v>
      </c>
    </row>
    <row r="36" spans="4:5" x14ac:dyDescent="0.3">
      <c r="D36">
        <v>90</v>
      </c>
      <c r="E36">
        <f t="shared" si="0"/>
        <v>4.5070148784950861E-17</v>
      </c>
    </row>
    <row r="37" spans="4:5" x14ac:dyDescent="0.3">
      <c r="D37">
        <v>95</v>
      </c>
      <c r="E37">
        <f t="shared" si="0"/>
        <v>6.4124837726589556E-2</v>
      </c>
    </row>
    <row r="38" spans="4:5" x14ac:dyDescent="0.3">
      <c r="D38">
        <v>100</v>
      </c>
      <c r="E38">
        <f t="shared" si="0"/>
        <v>0.12776164671844398</v>
      </c>
    </row>
    <row r="39" spans="4:5" x14ac:dyDescent="0.3">
      <c r="D39">
        <v>105</v>
      </c>
      <c r="E39">
        <f t="shared" si="0"/>
        <v>0.1904261124341797</v>
      </c>
    </row>
    <row r="40" spans="4:5" x14ac:dyDescent="0.3">
      <c r="D40">
        <v>110</v>
      </c>
      <c r="E40">
        <f t="shared" si="0"/>
        <v>0.25164132045186077</v>
      </c>
    </row>
    <row r="41" spans="4:5" x14ac:dyDescent="0.3">
      <c r="D41">
        <v>115</v>
      </c>
      <c r="E41">
        <f t="shared" si="0"/>
        <v>0.31094138607571953</v>
      </c>
    </row>
    <row r="42" spans="4:5" x14ac:dyDescent="0.3">
      <c r="D42">
        <v>120</v>
      </c>
      <c r="E42">
        <f t="shared" si="0"/>
        <v>0.3678749999999999</v>
      </c>
    </row>
    <row r="43" spans="4:5" x14ac:dyDescent="0.3">
      <c r="D43">
        <v>125</v>
      </c>
      <c r="E43">
        <f t="shared" si="0"/>
        <v>0.42200886304528218</v>
      </c>
    </row>
    <row r="44" spans="4:5" x14ac:dyDescent="0.3">
      <c r="D44">
        <v>130</v>
      </c>
      <c r="E44">
        <f t="shared" si="0"/>
        <v>0.47293098382687132</v>
      </c>
    </row>
    <row r="45" spans="4:5" x14ac:dyDescent="0.3">
      <c r="D45">
        <v>135</v>
      </c>
      <c r="E45">
        <f t="shared" si="0"/>
        <v>0.52025381425800232</v>
      </c>
    </row>
    <row r="46" spans="4:5" x14ac:dyDescent="0.3">
      <c r="D46">
        <v>140</v>
      </c>
      <c r="E46">
        <f t="shared" si="0"/>
        <v>0.56361719902478802</v>
      </c>
    </row>
    <row r="47" spans="4:5" x14ac:dyDescent="0.3">
      <c r="D47">
        <v>145</v>
      </c>
      <c r="E47">
        <f t="shared" si="0"/>
        <v>0.6026911165856258</v>
      </c>
    </row>
    <row r="48" spans="4:5" x14ac:dyDescent="0.3">
      <c r="D48">
        <v>150</v>
      </c>
      <c r="E48">
        <f t="shared" si="0"/>
        <v>0.63717819083440086</v>
      </c>
    </row>
    <row r="49" spans="4:5" x14ac:dyDescent="0.3">
      <c r="D49">
        <v>155</v>
      </c>
      <c r="E49">
        <f t="shared" si="0"/>
        <v>0.66681595431221519</v>
      </c>
    </row>
    <row r="50" spans="4:5" x14ac:dyDescent="0.3">
      <c r="D50">
        <v>160</v>
      </c>
      <c r="E50">
        <f t="shared" si="0"/>
        <v>0.69137884574323205</v>
      </c>
    </row>
    <row r="51" spans="4:5" x14ac:dyDescent="0.3">
      <c r="D51">
        <v>165</v>
      </c>
      <c r="E51">
        <f t="shared" si="0"/>
        <v>0.71067992669218194</v>
      </c>
    </row>
    <row r="52" spans="4:5" x14ac:dyDescent="0.3">
      <c r="D52">
        <v>170</v>
      </c>
      <c r="E52">
        <f t="shared" si="0"/>
        <v>0.72457230427873198</v>
      </c>
    </row>
    <row r="53" spans="4:5" x14ac:dyDescent="0.3">
      <c r="D53">
        <v>175</v>
      </c>
      <c r="E53">
        <f t="shared" si="0"/>
        <v>0.73295024912100182</v>
      </c>
    </row>
    <row r="54" spans="4:5" x14ac:dyDescent="0.3">
      <c r="D54">
        <v>180</v>
      </c>
      <c r="E54">
        <f t="shared" si="0"/>
        <v>0.73575000000000002</v>
      </c>
    </row>
  </sheetData>
  <mergeCells count="2">
    <mergeCell ref="E4:Q4"/>
    <mergeCell ref="E10:Q10"/>
  </mergeCells>
  <conditionalFormatting sqref="E18:E54">
    <cfRule type="cellIs" dxfId="3" priority="1" operator="greaterThan">
      <formula>$E$13</formula>
    </cfRule>
    <cfRule type="cellIs" dxfId="2" priority="2" operator="lessThan">
      <formula>$E$13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B4C7-5A93-485E-808A-036DC03A4B16}">
  <dimension ref="B8:AF42"/>
  <sheetViews>
    <sheetView tabSelected="1" topLeftCell="B14" zoomScale="94" workbookViewId="0">
      <selection activeCell="D11" sqref="D11:M11"/>
    </sheetView>
  </sheetViews>
  <sheetFormatPr defaultRowHeight="14.4" x14ac:dyDescent="0.3"/>
  <cols>
    <col min="3" max="3" width="9" bestFit="1" customWidth="1"/>
    <col min="4" max="4" width="11.77734375" bestFit="1" customWidth="1"/>
    <col min="5" max="6" width="9.33203125" bestFit="1" customWidth="1"/>
    <col min="7" max="7" width="10.33203125" bestFit="1" customWidth="1"/>
    <col min="8" max="11" width="9.33203125" bestFit="1" customWidth="1"/>
    <col min="12" max="22" width="9.21875" bestFit="1" customWidth="1"/>
  </cols>
  <sheetData>
    <row r="8" spans="2:32" x14ac:dyDescent="0.3">
      <c r="E8" t="s">
        <v>42</v>
      </c>
      <c r="F8" t="s">
        <v>41</v>
      </c>
      <c r="G8" t="s">
        <v>45</v>
      </c>
    </row>
    <row r="9" spans="2:32" x14ac:dyDescent="0.3">
      <c r="E9" t="s">
        <v>46</v>
      </c>
      <c r="F9" t="s">
        <v>47</v>
      </c>
      <c r="G9" t="s">
        <v>47</v>
      </c>
    </row>
    <row r="10" spans="2:32" x14ac:dyDescent="0.3">
      <c r="F10">
        <v>4.2</v>
      </c>
      <c r="G10">
        <f>150000000/2</f>
        <v>75000000</v>
      </c>
    </row>
    <row r="11" spans="2:32" x14ac:dyDescent="0.3">
      <c r="D11" s="3" t="s">
        <v>43</v>
      </c>
      <c r="E11" s="3"/>
      <c r="F11" s="3"/>
      <c r="G11" s="3"/>
      <c r="H11" s="3"/>
      <c r="I11" s="3"/>
      <c r="J11" s="3"/>
      <c r="K11" s="3"/>
      <c r="L11" s="3"/>
      <c r="M11" s="3"/>
    </row>
    <row r="12" spans="2:32" x14ac:dyDescent="0.3">
      <c r="D12">
        <v>2E-3</v>
      </c>
      <c r="E12">
        <v>3.0000000000000001E-3</v>
      </c>
      <c r="F12">
        <v>4.0000000000000001E-3</v>
      </c>
      <c r="G12">
        <v>5.0000000000000001E-3</v>
      </c>
      <c r="H12">
        <v>6.0000000000000001E-3</v>
      </c>
      <c r="I12">
        <v>7.0000000000000001E-3</v>
      </c>
      <c r="J12">
        <v>8.0000000000000002E-3</v>
      </c>
      <c r="K12">
        <v>8.9999999999999993E-3</v>
      </c>
      <c r="L12">
        <v>0.01</v>
      </c>
      <c r="M12">
        <v>1.0999999999999999E-2</v>
      </c>
      <c r="N12">
        <v>1.2E-2</v>
      </c>
      <c r="O12">
        <v>1.2999999999999999E-2</v>
      </c>
      <c r="P12">
        <v>1.4E-2</v>
      </c>
      <c r="Q12">
        <v>1.4999999999999999E-2</v>
      </c>
      <c r="R12">
        <v>1.6E-2</v>
      </c>
      <c r="S12">
        <v>1.7000000000000001E-2</v>
      </c>
      <c r="T12">
        <v>1.7999999999999999E-2</v>
      </c>
      <c r="U12">
        <v>1.9E-2</v>
      </c>
      <c r="V12">
        <v>0.02</v>
      </c>
      <c r="W12">
        <v>2.1000000000000001E-2</v>
      </c>
      <c r="X12">
        <v>2.1999999999999999E-2</v>
      </c>
      <c r="Y12">
        <v>2.3E-2</v>
      </c>
      <c r="Z12">
        <v>2.4E-2</v>
      </c>
      <c r="AA12">
        <v>2.5000000000000001E-2</v>
      </c>
      <c r="AB12">
        <v>2.5999999999999999E-2</v>
      </c>
      <c r="AC12">
        <v>2.7E-2</v>
      </c>
      <c r="AD12">
        <v>2.8000000000000001E-2</v>
      </c>
      <c r="AE12">
        <v>2.9000000000000001E-2</v>
      </c>
      <c r="AF12">
        <v>0.03</v>
      </c>
    </row>
    <row r="13" spans="2:32" x14ac:dyDescent="0.3">
      <c r="B13" s="4" t="s">
        <v>44</v>
      </c>
      <c r="C13">
        <v>1E-4</v>
      </c>
      <c r="D13" s="5">
        <f>($F$10*(D$12/2))
/
((PI()*((D$12))^4)/(64)-(PI()*(D$12-$C13*2)^4)/(64))</f>
        <v>15549886850.502136</v>
      </c>
      <c r="E13" s="5">
        <f t="shared" ref="E13:V27" si="0">($F$10*(E$12/2))
/
((PI()*((E$12))^4)/(64)-(PI()*(E$12-$C13*2)^4)/(64))</f>
        <v>6570078738.4974356</v>
      </c>
      <c r="F13" s="5">
        <f t="shared" si="0"/>
        <v>3603629561.5672278</v>
      </c>
      <c r="G13" s="5">
        <f t="shared" si="0"/>
        <v>2271748920.0698771</v>
      </c>
      <c r="H13" s="5">
        <f t="shared" si="0"/>
        <v>1561816048.0206246</v>
      </c>
      <c r="I13" s="5">
        <f t="shared" si="0"/>
        <v>1139249816.3362641</v>
      </c>
      <c r="J13" s="5">
        <f t="shared" si="0"/>
        <v>867558042.96540833</v>
      </c>
      <c r="K13" s="5">
        <f t="shared" si="0"/>
        <v>682616959.04434764</v>
      </c>
      <c r="L13" s="5">
        <f t="shared" si="0"/>
        <v>551073486.12504196</v>
      </c>
      <c r="M13" s="5">
        <f t="shared" si="0"/>
        <v>454188410.55365926</v>
      </c>
      <c r="N13" s="5">
        <f t="shared" si="0"/>
        <v>380775593.4311859</v>
      </c>
      <c r="O13" s="5">
        <f t="shared" si="0"/>
        <v>323822881.78382933</v>
      </c>
      <c r="P13" s="5">
        <f t="shared" si="0"/>
        <v>278753652.52724624</v>
      </c>
      <c r="Q13" s="5">
        <f t="shared" si="0"/>
        <v>242477977.73317143</v>
      </c>
      <c r="R13" s="5">
        <f t="shared" si="0"/>
        <v>212848620.78074682</v>
      </c>
      <c r="S13" s="5">
        <f t="shared" si="0"/>
        <v>188335856.29371163</v>
      </c>
      <c r="T13" s="5">
        <f t="shared" si="0"/>
        <v>167826009.05790591</v>
      </c>
      <c r="U13" s="5">
        <f t="shared" si="0"/>
        <v>150492701.9761751</v>
      </c>
      <c r="V13" s="5">
        <f t="shared" si="0"/>
        <v>135712299.38612154</v>
      </c>
      <c r="W13" s="5">
        <f>($F$10*(W$12/2))
/
((PI()*((W$12))^4)/(64)-(PI()*(W$12-$C13*2)^4)/(64))</f>
        <v>123007021.65393458</v>
      </c>
      <c r="X13" s="5">
        <f t="shared" ref="X13:AF28" si="1">($F$10*(X$12/2))
/
((PI()*((X$12))^4)/(64)-(PI()*(X$12-$C13*2)^4)/(64))</f>
        <v>112005845.88896357</v>
      </c>
      <c r="Y13" s="5">
        <f t="shared" si="1"/>
        <v>102417109.9412284</v>
      </c>
      <c r="Z13" s="5">
        <f t="shared" si="1"/>
        <v>94008980.931296945</v>
      </c>
      <c r="AA13" s="5">
        <f t="shared" si="1"/>
        <v>86595310.111898348</v>
      </c>
      <c r="AB13" s="5">
        <f t="shared" si="1"/>
        <v>80025240.983276844</v>
      </c>
      <c r="AC13" s="5">
        <f t="shared" si="1"/>
        <v>74175474.205006063</v>
      </c>
      <c r="AD13" s="5">
        <f t="shared" si="1"/>
        <v>68944440.466556266</v>
      </c>
      <c r="AE13" s="5">
        <f t="shared" si="1"/>
        <v>64247861.823010303</v>
      </c>
      <c r="AF13" s="5">
        <f t="shared" si="1"/>
        <v>60015335.877064243</v>
      </c>
    </row>
    <row r="14" spans="2:32" x14ac:dyDescent="0.3">
      <c r="B14" s="4"/>
      <c r="C14">
        <v>2.0000000000000001E-4</v>
      </c>
      <c r="D14" s="5">
        <f t="shared" ref="D14:S32" si="2">($F$10*(D$12/2))
/
((PI()*((D$12))^4)/(64)-(PI()*(D$12-$C14*2)^4)/(64))</f>
        <v>9057598387.3436394</v>
      </c>
      <c r="E14" s="5">
        <f t="shared" si="0"/>
        <v>3635519004.6372018</v>
      </c>
      <c r="F14" s="5">
        <f t="shared" si="0"/>
        <v>1943735856.312767</v>
      </c>
      <c r="G14" s="5">
        <f t="shared" si="0"/>
        <v>1206764083.235775</v>
      </c>
      <c r="H14" s="5">
        <f t="shared" si="0"/>
        <v>821259842.31217945</v>
      </c>
      <c r="I14" s="5">
        <f t="shared" si="0"/>
        <v>594737318.4836179</v>
      </c>
      <c r="J14" s="5">
        <f t="shared" si="0"/>
        <v>450453695.19590348</v>
      </c>
      <c r="K14" s="5">
        <f t="shared" si="0"/>
        <v>352938990.05453938</v>
      </c>
      <c r="L14" s="5">
        <f t="shared" si="0"/>
        <v>283968615.00873464</v>
      </c>
      <c r="M14" s="5">
        <f t="shared" si="0"/>
        <v>233400575.51662603</v>
      </c>
      <c r="N14" s="5">
        <f t="shared" si="0"/>
        <v>195227006.00257808</v>
      </c>
      <c r="O14" s="5">
        <f t="shared" si="0"/>
        <v>165705468.42234969</v>
      </c>
      <c r="P14" s="5">
        <f t="shared" si="0"/>
        <v>142406227.04203302</v>
      </c>
      <c r="Q14" s="5">
        <f t="shared" si="0"/>
        <v>123696162.01892695</v>
      </c>
      <c r="R14" s="5">
        <f t="shared" si="0"/>
        <v>108444755.37067604</v>
      </c>
      <c r="S14" s="5">
        <f t="shared" si="0"/>
        <v>95849299.722339958</v>
      </c>
      <c r="T14" s="5">
        <f t="shared" si="0"/>
        <v>85327119.880543455</v>
      </c>
      <c r="U14" s="5">
        <f t="shared" si="0"/>
        <v>76446977.401190311</v>
      </c>
      <c r="V14" s="5">
        <f t="shared" si="0"/>
        <v>68884185.765630245</v>
      </c>
      <c r="W14" s="5">
        <f t="shared" ref="W14:AF31" si="3">($F$10*(W$12/2))
/
((PI()*((W$12))^4)/(64)-(PI()*(W$12-$C14*2)^4)/(64))</f>
        <v>62390512.355485603</v>
      </c>
      <c r="X14" s="5">
        <f t="shared" si="1"/>
        <v>56773551.319207408</v>
      </c>
      <c r="Y14" s="5">
        <f t="shared" si="1"/>
        <v>51882308.544472016</v>
      </c>
      <c r="Z14" s="5">
        <f t="shared" si="1"/>
        <v>47596949.178898238</v>
      </c>
      <c r="AA14" s="5">
        <f t="shared" si="1"/>
        <v>43821388.627780989</v>
      </c>
      <c r="AB14" s="5">
        <f t="shared" si="1"/>
        <v>40477860.222978666</v>
      </c>
      <c r="AC14" s="5">
        <f t="shared" si="1"/>
        <v>37502879.07227166</v>
      </c>
      <c r="AD14" s="5">
        <f t="shared" si="1"/>
        <v>34844206.56590578</v>
      </c>
      <c r="AE14" s="5">
        <f t="shared" si="1"/>
        <v>32458541.7446822</v>
      </c>
      <c r="AF14" s="5">
        <f t="shared" si="1"/>
        <v>30309747.216646429</v>
      </c>
    </row>
    <row r="15" spans="2:32" x14ac:dyDescent="0.3">
      <c r="B15" s="4"/>
      <c r="C15">
        <v>2.9999999999999997E-4</v>
      </c>
      <c r="D15" s="5">
        <f t="shared" si="2"/>
        <v>7037249753.7671871</v>
      </c>
      <c r="E15" s="5">
        <f t="shared" si="0"/>
        <v>2683732855.5092258</v>
      </c>
      <c r="F15" s="5">
        <f t="shared" si="0"/>
        <v>1398450839.5475059</v>
      </c>
      <c r="G15" s="5">
        <f t="shared" si="0"/>
        <v>854965832.08431423</v>
      </c>
      <c r="H15" s="5">
        <f t="shared" si="0"/>
        <v>575921735.20378256</v>
      </c>
      <c r="I15" s="5">
        <f t="shared" si="0"/>
        <v>414039657.37357837</v>
      </c>
      <c r="J15" s="5">
        <f t="shared" si="0"/>
        <v>311886964.01853424</v>
      </c>
      <c r="K15" s="5">
        <f t="shared" si="0"/>
        <v>243336249.57397917</v>
      </c>
      <c r="L15" s="5">
        <f t="shared" si="0"/>
        <v>195122671.72416368</v>
      </c>
      <c r="M15" s="5">
        <f t="shared" si="0"/>
        <v>159933058.96481353</v>
      </c>
      <c r="N15" s="5">
        <f t="shared" si="0"/>
        <v>133467761.53952691</v>
      </c>
      <c r="O15" s="5">
        <f t="shared" si="0"/>
        <v>113064970.70142049</v>
      </c>
      <c r="P15" s="5">
        <f t="shared" si="0"/>
        <v>97005484.274613783</v>
      </c>
      <c r="Q15" s="5">
        <f t="shared" si="0"/>
        <v>84138848.891476929</v>
      </c>
      <c r="R15" s="5">
        <f t="shared" si="0"/>
        <v>73671690.644107372</v>
      </c>
      <c r="S15" s="5">
        <f t="shared" si="0"/>
        <v>65042546.274638772</v>
      </c>
      <c r="T15" s="5">
        <f t="shared" si="0"/>
        <v>57845038.815578632</v>
      </c>
      <c r="U15" s="5">
        <f t="shared" si="0"/>
        <v>51779180.817331702</v>
      </c>
      <c r="V15" s="5">
        <f t="shared" si="0"/>
        <v>46619624.17427963</v>
      </c>
      <c r="W15" s="5">
        <f t="shared" si="3"/>
        <v>42194437.642084017</v>
      </c>
      <c r="X15" s="5">
        <f t="shared" si="1"/>
        <v>38370604.031091742</v>
      </c>
      <c r="Y15" s="5">
        <f t="shared" si="1"/>
        <v>35043911.263518527</v>
      </c>
      <c r="Z15" s="5">
        <f t="shared" si="1"/>
        <v>32131779.369089056</v>
      </c>
      <c r="AA15" s="5">
        <f t="shared" si="1"/>
        <v>29568087.936439879</v>
      </c>
      <c r="AB15" s="5">
        <f t="shared" si="1"/>
        <v>27299390.965797856</v>
      </c>
      <c r="AC15" s="5">
        <f t="shared" si="1"/>
        <v>25282109.594235204</v>
      </c>
      <c r="AD15" s="5">
        <f t="shared" si="1"/>
        <v>23480424.297865588</v>
      </c>
      <c r="AE15" s="5">
        <f t="shared" si="1"/>
        <v>21864674.263208929</v>
      </c>
      <c r="AF15" s="5">
        <f t="shared" si="1"/>
        <v>20410129.115742337</v>
      </c>
    </row>
    <row r="16" spans="2:32" x14ac:dyDescent="0.3">
      <c r="B16" s="4"/>
      <c r="C16">
        <v>4.0000000000000002E-4</v>
      </c>
      <c r="D16" s="5">
        <f t="shared" si="2"/>
        <v>6143848906.1209612</v>
      </c>
      <c r="E16" s="5">
        <f t="shared" si="0"/>
        <v>2229159941.0381074</v>
      </c>
      <c r="F16" s="5">
        <f t="shared" si="0"/>
        <v>1132199798.4179549</v>
      </c>
      <c r="G16" s="5">
        <f t="shared" si="0"/>
        <v>681591851.89040732</v>
      </c>
      <c r="H16" s="5">
        <f t="shared" si="0"/>
        <v>454439875.57965022</v>
      </c>
      <c r="I16" s="5">
        <f t="shared" si="0"/>
        <v>324319729.33140075</v>
      </c>
      <c r="J16" s="5">
        <f t="shared" si="0"/>
        <v>242966982.03909588</v>
      </c>
      <c r="K16" s="5">
        <f t="shared" si="0"/>
        <v>188759172.70779133</v>
      </c>
      <c r="L16" s="5">
        <f t="shared" si="0"/>
        <v>150845510.40447187</v>
      </c>
      <c r="M16" s="5">
        <f t="shared" si="0"/>
        <v>123298136.86532144</v>
      </c>
      <c r="N16" s="5">
        <f t="shared" si="0"/>
        <v>102657480.28902243</v>
      </c>
      <c r="O16" s="5">
        <f t="shared" si="0"/>
        <v>86794792.356516302</v>
      </c>
      <c r="P16" s="5">
        <f t="shared" si="0"/>
        <v>74342164.810452238</v>
      </c>
      <c r="Q16" s="5">
        <f t="shared" si="0"/>
        <v>64388194.305740438</v>
      </c>
      <c r="R16" s="5">
        <f t="shared" si="0"/>
        <v>56306711.899487935</v>
      </c>
      <c r="S16" s="5">
        <f t="shared" si="0"/>
        <v>49656028.451953784</v>
      </c>
      <c r="T16" s="5">
        <f t="shared" si="0"/>
        <v>44117373.756817423</v>
      </c>
      <c r="U16" s="5">
        <f t="shared" si="0"/>
        <v>39456029.479282022</v>
      </c>
      <c r="V16" s="5">
        <f t="shared" si="0"/>
        <v>35496076.87609183</v>
      </c>
      <c r="W16" s="5">
        <f t="shared" si="3"/>
        <v>32103570.499051772</v>
      </c>
      <c r="X16" s="5">
        <f t="shared" si="1"/>
        <v>29175071.939578254</v>
      </c>
      <c r="Y16" s="5">
        <f t="shared" si="1"/>
        <v>26629677.754093293</v>
      </c>
      <c r="Z16" s="5">
        <f t="shared" si="1"/>
        <v>24403375.75032226</v>
      </c>
      <c r="AA16" s="5">
        <f t="shared" si="1"/>
        <v>22444983.778853234</v>
      </c>
      <c r="AB16" s="5">
        <f t="shared" si="1"/>
        <v>20713183.552793711</v>
      </c>
      <c r="AC16" s="5">
        <f t="shared" si="1"/>
        <v>19174324.65180039</v>
      </c>
      <c r="AD16" s="5">
        <f t="shared" si="1"/>
        <v>17800778.380254127</v>
      </c>
      <c r="AE16" s="5">
        <f t="shared" si="1"/>
        <v>16569689.597566929</v>
      </c>
      <c r="AF16" s="5">
        <f t="shared" si="1"/>
        <v>15462020.252365869</v>
      </c>
    </row>
    <row r="17" spans="2:32" x14ac:dyDescent="0.3">
      <c r="B17" s="4"/>
      <c r="C17">
        <v>5.0000000000000001E-4</v>
      </c>
      <c r="D17" s="5">
        <f t="shared" si="2"/>
        <v>5704113160.4135294</v>
      </c>
      <c r="E17" s="5">
        <f t="shared" si="0"/>
        <v>1974500709.3739138</v>
      </c>
      <c r="F17" s="5">
        <f t="shared" si="0"/>
        <v>977847970.35660505</v>
      </c>
      <c r="G17" s="5">
        <f t="shared" si="0"/>
        <v>579686296.78999281</v>
      </c>
      <c r="H17" s="5">
        <f t="shared" si="0"/>
        <v>382541121.04114568</v>
      </c>
      <c r="I17" s="5">
        <f t="shared" si="0"/>
        <v>271009901.28661549</v>
      </c>
      <c r="J17" s="5">
        <f t="shared" si="0"/>
        <v>201915510.10313392</v>
      </c>
      <c r="K17" s="5">
        <f t="shared" si="0"/>
        <v>156197824.87947804</v>
      </c>
      <c r="L17" s="5">
        <f t="shared" si="0"/>
        <v>124399094.80401714</v>
      </c>
      <c r="M17" s="5">
        <f t="shared" si="0"/>
        <v>101398262.38614865</v>
      </c>
      <c r="N17" s="5">
        <f t="shared" si="0"/>
        <v>84228086.043842033</v>
      </c>
      <c r="O17" s="5">
        <f t="shared" si="0"/>
        <v>71073614.458826751</v>
      </c>
      <c r="P17" s="5">
        <f t="shared" si="0"/>
        <v>60774417.234238528</v>
      </c>
      <c r="Q17" s="5">
        <f t="shared" si="0"/>
        <v>52560629.907979459</v>
      </c>
      <c r="R17" s="5">
        <f t="shared" si="0"/>
        <v>45905276.591081984</v>
      </c>
      <c r="S17" s="5">
        <f t="shared" si="0"/>
        <v>40437833.080496177</v>
      </c>
      <c r="T17" s="5">
        <f t="shared" si="0"/>
        <v>35891646.546531148</v>
      </c>
      <c r="U17" s="5">
        <f t="shared" si="0"/>
        <v>32070867.049079802</v>
      </c>
      <c r="V17" s="5">
        <f t="shared" si="0"/>
        <v>28829036.492537793</v>
      </c>
      <c r="W17" s="5">
        <f t="shared" si="3"/>
        <v>26054865.658337347</v>
      </c>
      <c r="X17" s="5">
        <f t="shared" si="1"/>
        <v>23662568.735844932</v>
      </c>
      <c r="Y17" s="5">
        <f t="shared" si="1"/>
        <v>21585160.034470402</v>
      </c>
      <c r="Z17" s="5">
        <f t="shared" si="1"/>
        <v>19769719.242792606</v>
      </c>
      <c r="AA17" s="5">
        <f t="shared" si="1"/>
        <v>18173991.360558949</v>
      </c>
      <c r="AB17" s="5">
        <f t="shared" si="1"/>
        <v>16763908.099058587</v>
      </c>
      <c r="AC17" s="5">
        <f t="shared" si="1"/>
        <v>15511756.059675563</v>
      </c>
      <c r="AD17" s="5">
        <f t="shared" si="1"/>
        <v>14394805.788461654</v>
      </c>
      <c r="AE17" s="5">
        <f t="shared" si="1"/>
        <v>13394273.817975108</v>
      </c>
      <c r="AF17" s="5">
        <f t="shared" si="1"/>
        <v>12494528.384164983</v>
      </c>
    </row>
    <row r="18" spans="2:32" x14ac:dyDescent="0.3">
      <c r="B18" s="4"/>
      <c r="C18">
        <v>5.9999999999999995E-4</v>
      </c>
      <c r="D18" s="5">
        <f t="shared" si="2"/>
        <v>5488101485.9274263</v>
      </c>
      <c r="E18" s="5">
        <f t="shared" si="2"/>
        <v>1820399675.8876917</v>
      </c>
      <c r="F18" s="5">
        <f t="shared" si="2"/>
        <v>879656219.22089839</v>
      </c>
      <c r="G18" s="5">
        <f t="shared" si="2"/>
        <v>513592385.04668438</v>
      </c>
      <c r="H18" s="5">
        <f t="shared" si="2"/>
        <v>335466606.93865323</v>
      </c>
      <c r="I18" s="5">
        <f t="shared" si="2"/>
        <v>235920625.95301515</v>
      </c>
      <c r="J18" s="5">
        <f t="shared" si="2"/>
        <v>174806354.94343823</v>
      </c>
      <c r="K18" s="5">
        <f t="shared" si="2"/>
        <v>134648852.02360013</v>
      </c>
      <c r="L18" s="5">
        <f t="shared" si="2"/>
        <v>106870729.01053928</v>
      </c>
      <c r="M18" s="5">
        <f t="shared" si="2"/>
        <v>86867579.305310264</v>
      </c>
      <c r="N18" s="5">
        <f t="shared" si="2"/>
        <v>71990216.90047282</v>
      </c>
      <c r="O18" s="5">
        <f t="shared" si="2"/>
        <v>60627662.656507634</v>
      </c>
      <c r="P18" s="5">
        <f t="shared" si="2"/>
        <v>51754957.171697296</v>
      </c>
      <c r="Q18" s="5">
        <f t="shared" si="2"/>
        <v>44694966.04576946</v>
      </c>
      <c r="R18" s="5">
        <f t="shared" si="2"/>
        <v>38985870.50231678</v>
      </c>
      <c r="S18" s="5">
        <f t="shared" si="2"/>
        <v>34303989.13964989</v>
      </c>
      <c r="T18" s="5">
        <f t="shared" ref="T18:AF42" si="4">($F$10*(T$12/2))
/
((PI()*((T$12))^4)/(64)-(PI()*(T$12-$C18*2)^4)/(64))</f>
        <v>30417031.196747396</v>
      </c>
      <c r="U18" s="5">
        <f t="shared" si="4"/>
        <v>27154808.151753232</v>
      </c>
      <c r="V18" s="5">
        <f t="shared" si="4"/>
        <v>24390333.96552046</v>
      </c>
      <c r="W18" s="5">
        <f t="shared" si="3"/>
        <v>22027308.091985919</v>
      </c>
      <c r="X18" s="5">
        <f t="shared" si="1"/>
        <v>19991632.370601691</v>
      </c>
      <c r="Y18" s="5">
        <f t="shared" si="1"/>
        <v>18225542.156823043</v>
      </c>
      <c r="Z18" s="5">
        <f t="shared" si="1"/>
        <v>16683470.192440864</v>
      </c>
      <c r="AA18" s="5">
        <f t="shared" si="1"/>
        <v>15329082.449936129</v>
      </c>
      <c r="AB18" s="5">
        <f t="shared" si="1"/>
        <v>14133121.337677561</v>
      </c>
      <c r="AC18" s="5">
        <f t="shared" si="1"/>
        <v>13071814.446464418</v>
      </c>
      <c r="AD18" s="5">
        <f t="shared" si="1"/>
        <v>12125685.534326723</v>
      </c>
      <c r="AE18" s="5">
        <f t="shared" si="1"/>
        <v>11278655.63148302</v>
      </c>
      <c r="AF18" s="5">
        <f t="shared" si="1"/>
        <v>10517356.111434616</v>
      </c>
    </row>
    <row r="19" spans="2:32" x14ac:dyDescent="0.3">
      <c r="B19" s="4"/>
      <c r="C19">
        <v>6.9999999999999999E-4</v>
      </c>
      <c r="D19" s="5">
        <f t="shared" si="2"/>
        <v>5391275418.7798014</v>
      </c>
      <c r="E19" s="5">
        <f t="shared" si="2"/>
        <v>1723959064.6331375</v>
      </c>
      <c r="F19" s="5">
        <f t="shared" si="2"/>
        <v>813701578.35766912</v>
      </c>
      <c r="G19" s="5">
        <f t="shared" si="2"/>
        <v>468022475.82589859</v>
      </c>
      <c r="H19" s="5">
        <f t="shared" si="2"/>
        <v>302603903.04914278</v>
      </c>
      <c r="I19" s="5">
        <f t="shared" si="2"/>
        <v>211255939.06340832</v>
      </c>
      <c r="J19" s="5">
        <f t="shared" si="2"/>
        <v>155670993.81877413</v>
      </c>
      <c r="K19" s="5">
        <f t="shared" si="2"/>
        <v>119396471.00775334</v>
      </c>
      <c r="L19" s="5">
        <f t="shared" si="2"/>
        <v>94440660.792259485</v>
      </c>
      <c r="M19" s="5">
        <f t="shared" si="2"/>
        <v>76549280.5919258</v>
      </c>
      <c r="N19" s="5">
        <f t="shared" si="2"/>
        <v>63291283.704284556</v>
      </c>
      <c r="O19" s="5">
        <f t="shared" si="2"/>
        <v>53196745.229960926</v>
      </c>
      <c r="P19" s="5">
        <f t="shared" si="2"/>
        <v>45334947.086012006</v>
      </c>
      <c r="Q19" s="5">
        <f t="shared" si="2"/>
        <v>39093549.302836522</v>
      </c>
      <c r="R19" s="5">
        <f t="shared" si="2"/>
        <v>34056415.748066388</v>
      </c>
      <c r="S19" s="5">
        <f t="shared" si="2"/>
        <v>29932794.58085851</v>
      </c>
      <c r="T19" s="5">
        <f t="shared" si="4"/>
        <v>26514602.197950501</v>
      </c>
      <c r="U19" s="5">
        <f t="shared" si="4"/>
        <v>23649759.020565964</v>
      </c>
      <c r="V19" s="5">
        <f t="shared" si="4"/>
        <v>21225039.691277917</v>
      </c>
      <c r="W19" s="5">
        <f t="shared" si="3"/>
        <v>19154748.508738916</v>
      </c>
      <c r="X19" s="5">
        <f t="shared" si="1"/>
        <v>17373064.835728489</v>
      </c>
      <c r="Y19" s="5">
        <f t="shared" si="1"/>
        <v>15828760.159093153</v>
      </c>
      <c r="Z19" s="5">
        <f t="shared" si="1"/>
        <v>14481483.049261017</v>
      </c>
      <c r="AA19" s="5">
        <f t="shared" si="1"/>
        <v>13299102.10593036</v>
      </c>
      <c r="AB19" s="5">
        <f t="shared" si="1"/>
        <v>12255776.168428224</v>
      </c>
      <c r="AC19" s="5">
        <f t="shared" si="1"/>
        <v>11330532.951499166</v>
      </c>
      <c r="AD19" s="5">
        <f t="shared" si="1"/>
        <v>10506208.634306772</v>
      </c>
      <c r="AE19" s="5">
        <f t="shared" si="1"/>
        <v>9768647.3511601854</v>
      </c>
      <c r="AF19" s="5">
        <f t="shared" si="1"/>
        <v>9106090.2716957517</v>
      </c>
    </row>
    <row r="20" spans="2:32" x14ac:dyDescent="0.3">
      <c r="B20" s="4"/>
      <c r="C20">
        <v>8.0000000000000004E-4</v>
      </c>
      <c r="D20" s="5">
        <f t="shared" si="2"/>
        <v>5356175969.4387865</v>
      </c>
      <c r="E20" s="5">
        <f t="shared" si="2"/>
        <v>1663364534.6365969</v>
      </c>
      <c r="F20" s="5">
        <f t="shared" si="2"/>
        <v>767981113.26512015</v>
      </c>
      <c r="G20" s="5">
        <f t="shared" si="2"/>
        <v>435325336.68461531</v>
      </c>
      <c r="H20" s="5">
        <f t="shared" si="2"/>
        <v>278644992.62976342</v>
      </c>
      <c r="I20" s="5">
        <f t="shared" si="2"/>
        <v>193117316.29501605</v>
      </c>
      <c r="J20" s="5">
        <f t="shared" si="2"/>
        <v>141524974.80224437</v>
      </c>
      <c r="K20" s="5">
        <f t="shared" si="2"/>
        <v>108082714.9933463</v>
      </c>
      <c r="L20" s="5">
        <f t="shared" si="2"/>
        <v>85198981.486300915</v>
      </c>
      <c r="M20" s="5">
        <f t="shared" si="2"/>
        <v>68864947.616691425</v>
      </c>
      <c r="N20" s="5">
        <f t="shared" si="2"/>
        <v>56804984.447456278</v>
      </c>
      <c r="O20" s="5">
        <f t="shared" si="2"/>
        <v>47650762.494776897</v>
      </c>
      <c r="P20" s="5">
        <f t="shared" si="2"/>
        <v>40539966.166425094</v>
      </c>
      <c r="Q20" s="5">
        <f t="shared" si="2"/>
        <v>34907551.848328352</v>
      </c>
      <c r="R20" s="5">
        <f t="shared" si="2"/>
        <v>30370872.754886985</v>
      </c>
      <c r="S20" s="5">
        <f t="shared" si="2"/>
        <v>26663398.019945391</v>
      </c>
      <c r="T20" s="5">
        <f t="shared" si="4"/>
        <v>23594896.588473916</v>
      </c>
      <c r="U20" s="5">
        <f t="shared" si="4"/>
        <v>21026672.653317764</v>
      </c>
      <c r="V20" s="5">
        <f t="shared" si="4"/>
        <v>18855688.800558984</v>
      </c>
      <c r="W20" s="5">
        <f t="shared" si="3"/>
        <v>17004112.225965321</v>
      </c>
      <c r="X20" s="5">
        <f t="shared" si="1"/>
        <v>15412267.10816518</v>
      </c>
      <c r="Y20" s="5">
        <f t="shared" si="1"/>
        <v>14033782.051900094</v>
      </c>
      <c r="Z20" s="5">
        <f t="shared" si="1"/>
        <v>12832185.036127804</v>
      </c>
      <c r="AA20" s="5">
        <f t="shared" si="1"/>
        <v>11778472.859447306</v>
      </c>
      <c r="AB20" s="5">
        <f t="shared" si="1"/>
        <v>10849349.044564538</v>
      </c>
      <c r="AC20" s="5">
        <f t="shared" si="1"/>
        <v>10025928.148761051</v>
      </c>
      <c r="AD20" s="5">
        <f t="shared" si="1"/>
        <v>9292770.6013065297</v>
      </c>
      <c r="AE20" s="5">
        <f t="shared" si="1"/>
        <v>8637155.1382317711</v>
      </c>
      <c r="AF20" s="5">
        <f t="shared" si="1"/>
        <v>8048524.2882175548</v>
      </c>
    </row>
    <row r="21" spans="2:32" x14ac:dyDescent="0.3">
      <c r="B21" s="4"/>
      <c r="C21">
        <v>8.9999999999999998E-4</v>
      </c>
      <c r="D21" s="5">
        <f t="shared" si="2"/>
        <v>5348140901.9778824</v>
      </c>
      <c r="E21" s="5">
        <f t="shared" si="2"/>
        <v>1626104143.9784963</v>
      </c>
      <c r="F21" s="5">
        <f t="shared" si="2"/>
        <v>735779152.01503646</v>
      </c>
      <c r="G21" s="5">
        <f t="shared" si="2"/>
        <v>411241697.49573839</v>
      </c>
      <c r="H21" s="5">
        <f t="shared" si="2"/>
        <v>260638879.769155</v>
      </c>
      <c r="I21" s="5">
        <f t="shared" si="2"/>
        <v>179338276.63905087</v>
      </c>
      <c r="J21" s="5">
        <f t="shared" si="2"/>
        <v>130710044.86798023</v>
      </c>
      <c r="K21" s="5">
        <f t="shared" si="2"/>
        <v>99397513.1670084</v>
      </c>
      <c r="L21" s="5">
        <f t="shared" si="2"/>
        <v>78084591.757288054</v>
      </c>
      <c r="M21" s="5">
        <f t="shared" si="2"/>
        <v>62937662.822342336</v>
      </c>
      <c r="N21" s="5">
        <f t="shared" si="2"/>
        <v>51794475.538796514</v>
      </c>
      <c r="O21" s="5">
        <f t="shared" si="2"/>
        <v>43361876.500827201</v>
      </c>
      <c r="P21" s="5">
        <f t="shared" si="2"/>
        <v>36828666.902213708</v>
      </c>
      <c r="Q21" s="5">
        <f t="shared" si="2"/>
        <v>31665401.188307922</v>
      </c>
      <c r="R21" s="5">
        <f t="shared" si="2"/>
        <v>27514774.235788129</v>
      </c>
      <c r="S21" s="5">
        <f t="shared" si="2"/>
        <v>24128659.289862618</v>
      </c>
      <c r="T21" s="5">
        <f t="shared" si="4"/>
        <v>21330434.637177136</v>
      </c>
      <c r="U21" s="5">
        <f t="shared" si="4"/>
        <v>18991633.859865326</v>
      </c>
      <c r="V21" s="5">
        <f t="shared" si="4"/>
        <v>17017022.915668249</v>
      </c>
      <c r="W21" s="5">
        <f t="shared" si="3"/>
        <v>15334802.124947362</v>
      </c>
      <c r="X21" s="5">
        <f t="shared" si="1"/>
        <v>13890017.463155804</v>
      </c>
      <c r="Y21" s="5">
        <f t="shared" si="1"/>
        <v>12640034.479878569</v>
      </c>
      <c r="Z21" s="5">
        <f t="shared" si="1"/>
        <v>11551369.037723482</v>
      </c>
      <c r="AA21" s="5">
        <f t="shared" si="1"/>
        <v>10597429.439994218</v>
      </c>
      <c r="AB21" s="5">
        <f t="shared" si="1"/>
        <v>9756882.4347221702</v>
      </c>
      <c r="AC21" s="5">
        <f t="shared" si="1"/>
        <v>9012453.6879251674</v>
      </c>
      <c r="AD21" s="5">
        <f t="shared" si="1"/>
        <v>8350035.6084258528</v>
      </c>
      <c r="AE21" s="5">
        <f t="shared" si="1"/>
        <v>7758015.7493108679</v>
      </c>
      <c r="AF21" s="5">
        <f t="shared" si="1"/>
        <v>7226765.6194134681</v>
      </c>
    </row>
    <row r="22" spans="2:32" x14ac:dyDescent="0.3">
      <c r="B22" s="4"/>
      <c r="C22">
        <v>1E-3</v>
      </c>
      <c r="D22" s="5">
        <f t="shared" si="2"/>
        <v>5347606087.8876839</v>
      </c>
      <c r="E22" s="5">
        <f t="shared" si="2"/>
        <v>1604281826.3663049</v>
      </c>
      <c r="F22" s="5">
        <f t="shared" si="2"/>
        <v>713014145.05169117</v>
      </c>
      <c r="G22" s="5">
        <f t="shared" si="2"/>
        <v>393206329.99174148</v>
      </c>
      <c r="H22" s="5">
        <f t="shared" si="2"/>
        <v>246812588.67173922</v>
      </c>
      <c r="I22" s="5">
        <f t="shared" si="2"/>
        <v>168618209.9784404</v>
      </c>
      <c r="J22" s="5">
        <f t="shared" si="2"/>
        <v>122230996.29457563</v>
      </c>
      <c r="K22" s="5">
        <f t="shared" si="2"/>
        <v>92554720.751902208</v>
      </c>
      <c r="L22" s="5">
        <f t="shared" si="2"/>
        <v>72460787.098749101</v>
      </c>
      <c r="M22" s="5">
        <f t="shared" si="2"/>
        <v>58241254.422539145</v>
      </c>
      <c r="N22" s="5">
        <f t="shared" si="2"/>
        <v>47817640.13014321</v>
      </c>
      <c r="O22" s="5">
        <f t="shared" si="2"/>
        <v>39953378.81755165</v>
      </c>
      <c r="P22" s="5">
        <f t="shared" si="2"/>
        <v>33876237.660826936</v>
      </c>
      <c r="Q22" s="5">
        <f t="shared" si="2"/>
        <v>29084152.037097629</v>
      </c>
      <c r="R22" s="5">
        <f t="shared" si="2"/>
        <v>25239438.76289174</v>
      </c>
      <c r="S22" s="5">
        <f t="shared" si="2"/>
        <v>22108293.651286624</v>
      </c>
      <c r="T22" s="5">
        <f t="shared" si="4"/>
        <v>19524728.109934755</v>
      </c>
      <c r="U22" s="5">
        <f t="shared" si="4"/>
        <v>17368293.276900183</v>
      </c>
      <c r="V22" s="5">
        <f t="shared" si="4"/>
        <v>15549886.850502143</v>
      </c>
      <c r="W22" s="5">
        <f t="shared" si="3"/>
        <v>14002459.831127362</v>
      </c>
      <c r="X22" s="5">
        <f t="shared" si="1"/>
        <v>12674782.798268581</v>
      </c>
      <c r="Y22" s="5">
        <f t="shared" si="1"/>
        <v>11527173.385324901</v>
      </c>
      <c r="Z22" s="5">
        <f t="shared" si="1"/>
        <v>10528510.755480254</v>
      </c>
      <c r="AA22" s="5">
        <f t="shared" si="1"/>
        <v>9654112.6658861786</v>
      </c>
      <c r="AB22" s="5">
        <f t="shared" si="1"/>
        <v>8884201.8073533438</v>
      </c>
      <c r="AC22" s="5">
        <f t="shared" si="1"/>
        <v>8202781.7505378798</v>
      </c>
      <c r="AD22" s="5">
        <f t="shared" si="1"/>
        <v>7596802.154279816</v>
      </c>
      <c r="AE22" s="5">
        <f t="shared" si="1"/>
        <v>7055531.2351566376</v>
      </c>
      <c r="AF22" s="5">
        <f t="shared" si="1"/>
        <v>6570078.7384974323</v>
      </c>
    </row>
    <row r="23" spans="2:32" x14ac:dyDescent="0.3">
      <c r="B23" s="4"/>
      <c r="C23">
        <v>1.1000000000000001E-3</v>
      </c>
      <c r="D23" s="5">
        <f t="shared" si="2"/>
        <v>5348140901.9778824</v>
      </c>
      <c r="E23" s="5">
        <f t="shared" si="2"/>
        <v>1592528962.6221535</v>
      </c>
      <c r="F23" s="5">
        <f t="shared" si="2"/>
        <v>697033490.55816114</v>
      </c>
      <c r="G23" s="5">
        <f t="shared" si="2"/>
        <v>379576195.37601852</v>
      </c>
      <c r="H23" s="5">
        <f t="shared" si="2"/>
        <v>236035220.50354725</v>
      </c>
      <c r="I23" s="5">
        <f t="shared" si="2"/>
        <v>160128650.55800095</v>
      </c>
      <c r="J23" s="5">
        <f t="shared" si="2"/>
        <v>115454228.90114872</v>
      </c>
      <c r="K23" s="5">
        <f t="shared" si="2"/>
        <v>87053949.11854215</v>
      </c>
      <c r="L23" s="5">
        <f t="shared" si="2"/>
        <v>67922341.414007559</v>
      </c>
      <c r="M23" s="5">
        <f t="shared" si="2"/>
        <v>54440861.832268298</v>
      </c>
      <c r="N23" s="5">
        <f t="shared" si="2"/>
        <v>44593119.005222924</v>
      </c>
      <c r="O23" s="5">
        <f t="shared" si="2"/>
        <v>37185539.43947345</v>
      </c>
      <c r="P23" s="5">
        <f t="shared" si="2"/>
        <v>31475976.539112777</v>
      </c>
      <c r="Q23" s="5">
        <f t="shared" si="2"/>
        <v>26983746.231539227</v>
      </c>
      <c r="R23" s="5">
        <f t="shared" si="2"/>
        <v>23386613.284383219</v>
      </c>
      <c r="S23" s="5">
        <f t="shared" si="2"/>
        <v>20462119.151283626</v>
      </c>
      <c r="T23" s="5">
        <f t="shared" si="4"/>
        <v>18052738.566455934</v>
      </c>
      <c r="U23" s="5">
        <f t="shared" si="4"/>
        <v>16044428.279818743</v>
      </c>
      <c r="V23" s="5">
        <f t="shared" si="4"/>
        <v>14352999.835249571</v>
      </c>
      <c r="W23" s="5">
        <f t="shared" si="3"/>
        <v>12915220.794301268</v>
      </c>
      <c r="X23" s="5">
        <f t="shared" si="1"/>
        <v>11682860.143127071</v>
      </c>
      <c r="Y23" s="5">
        <f t="shared" si="1"/>
        <v>10618616.127210723</v>
      </c>
      <c r="Z23" s="5">
        <f t="shared" si="1"/>
        <v>9693276.5046983324</v>
      </c>
      <c r="AA23" s="5">
        <f t="shared" si="1"/>
        <v>8883703.0302856602</v>
      </c>
      <c r="AB23" s="5">
        <f t="shared" si="1"/>
        <v>8171377.8960757991</v>
      </c>
      <c r="AC23" s="5">
        <f t="shared" si="1"/>
        <v>7541340.0753288837</v>
      </c>
      <c r="AD23" s="5">
        <f t="shared" si="1"/>
        <v>6981396.5470694434</v>
      </c>
      <c r="AE23" s="5">
        <f t="shared" si="1"/>
        <v>6481530.1672581658</v>
      </c>
      <c r="AF23" s="5">
        <f t="shared" si="1"/>
        <v>6033450.1241423963</v>
      </c>
    </row>
    <row r="24" spans="2:32" x14ac:dyDescent="0.3">
      <c r="B24" s="4"/>
      <c r="C24">
        <v>1.1999999999999999E-3</v>
      </c>
      <c r="D24" s="5">
        <f t="shared" si="2"/>
        <v>5356175969.4387865</v>
      </c>
      <c r="E24" s="5">
        <f t="shared" si="2"/>
        <v>1587015102.0559363</v>
      </c>
      <c r="F24" s="5">
        <f t="shared" si="2"/>
        <v>686012685.74092829</v>
      </c>
      <c r="G24" s="5">
        <f t="shared" si="2"/>
        <v>369244531.89820611</v>
      </c>
      <c r="H24" s="5">
        <f t="shared" si="2"/>
        <v>227549959.48596147</v>
      </c>
      <c r="I24" s="5">
        <f t="shared" si="2"/>
        <v>153316404.11085731</v>
      </c>
      <c r="J24" s="5">
        <f t="shared" si="2"/>
        <v>109957027.4026123</v>
      </c>
      <c r="K24" s="5">
        <f t="shared" si="2"/>
        <v>82561479.297707692</v>
      </c>
      <c r="L24" s="5">
        <f t="shared" si="2"/>
        <v>64199048.130835548</v>
      </c>
      <c r="M24" s="5">
        <f t="shared" si="2"/>
        <v>51313218.067027658</v>
      </c>
      <c r="N24" s="5">
        <f t="shared" si="2"/>
        <v>41933325.867331654</v>
      </c>
      <c r="O24" s="5">
        <f t="shared" si="2"/>
        <v>34898531.157049485</v>
      </c>
      <c r="P24" s="5">
        <f t="shared" si="2"/>
        <v>29490078.244126894</v>
      </c>
      <c r="Q24" s="5">
        <f t="shared" si="2"/>
        <v>25244142.662607692</v>
      </c>
      <c r="R24" s="5">
        <f t="shared" si="2"/>
        <v>21850794.367929779</v>
      </c>
      <c r="S24" s="5">
        <f t="shared" si="2"/>
        <v>19096680.293471992</v>
      </c>
      <c r="T24" s="5">
        <f t="shared" si="4"/>
        <v>16831106.502950016</v>
      </c>
      <c r="U24" s="5">
        <f t="shared" si="4"/>
        <v>14945223.434967224</v>
      </c>
      <c r="V24" s="5">
        <f t="shared" si="4"/>
        <v>13358841.12631741</v>
      </c>
      <c r="W24" s="5">
        <f t="shared" si="3"/>
        <v>12011841.827088937</v>
      </c>
      <c r="X24" s="5">
        <f t="shared" si="1"/>
        <v>10858447.413163783</v>
      </c>
      <c r="Y24" s="5">
        <f t="shared" si="1"/>
        <v>9863307.5399168301</v>
      </c>
      <c r="Z24" s="5">
        <f t="shared" si="1"/>
        <v>8998777.1125591025</v>
      </c>
      <c r="AA24" s="5">
        <f t="shared" si="1"/>
        <v>8242987.4938313002</v>
      </c>
      <c r="AB24" s="5">
        <f t="shared" si="1"/>
        <v>7578457.8320634542</v>
      </c>
      <c r="AC24" s="5">
        <f t="shared" si="1"/>
        <v>6991080.4706589412</v>
      </c>
      <c r="AD24" s="5">
        <f t="shared" si="1"/>
        <v>6469369.646462162</v>
      </c>
      <c r="AE24" s="5">
        <f t="shared" si="1"/>
        <v>6003898.251010038</v>
      </c>
      <c r="AF24" s="5">
        <f t="shared" si="1"/>
        <v>5586870.7557211826</v>
      </c>
    </row>
    <row r="25" spans="2:32" x14ac:dyDescent="0.3">
      <c r="B25" s="4"/>
      <c r="C25">
        <v>1.2999999999999999E-3</v>
      </c>
      <c r="D25" s="5">
        <f t="shared" si="2"/>
        <v>5391275418.7798004</v>
      </c>
      <c r="E25" s="5">
        <f t="shared" si="2"/>
        <v>1584976808.8346982</v>
      </c>
      <c r="F25" s="5">
        <f t="shared" si="2"/>
        <v>678634520.25554538</v>
      </c>
      <c r="G25" s="5">
        <f t="shared" si="2"/>
        <v>361433165.6177721</v>
      </c>
      <c r="H25" s="5">
        <f t="shared" si="2"/>
        <v>220829759.20381799</v>
      </c>
      <c r="I25" s="5">
        <f t="shared" si="2"/>
        <v>147797532.21696746</v>
      </c>
      <c r="J25" s="5">
        <f t="shared" si="2"/>
        <v>105446399.89051704</v>
      </c>
      <c r="K25" s="5">
        <f t="shared" si="2"/>
        <v>78846137.121306315</v>
      </c>
      <c r="L25" s="5">
        <f t="shared" si="2"/>
        <v>61103780.188070036</v>
      </c>
      <c r="M25" s="5">
        <f t="shared" si="2"/>
        <v>48703724.589877218</v>
      </c>
      <c r="N25" s="5">
        <f t="shared" si="2"/>
        <v>39708378.502539434</v>
      </c>
      <c r="O25" s="5">
        <f t="shared" si="2"/>
        <v>32981696.449134775</v>
      </c>
      <c r="P25" s="5">
        <f t="shared" si="2"/>
        <v>27823134.679297782</v>
      </c>
      <c r="Q25" s="5">
        <f t="shared" si="2"/>
        <v>23782233.368485104</v>
      </c>
      <c r="R25" s="5">
        <f t="shared" si="2"/>
        <v>20558939.625292398</v>
      </c>
      <c r="S25" s="5">
        <f t="shared" si="2"/>
        <v>17947276.159483787</v>
      </c>
      <c r="T25" s="5">
        <f t="shared" si="4"/>
        <v>15802120.885078892</v>
      </c>
      <c r="U25" s="5">
        <f t="shared" si="4"/>
        <v>14018883.047376826</v>
      </c>
      <c r="V25" s="5">
        <f t="shared" si="4"/>
        <v>12520665.332469063</v>
      </c>
      <c r="W25" s="5">
        <f t="shared" si="3"/>
        <v>11249923.624117615</v>
      </c>
      <c r="X25" s="5">
        <f t="shared" si="1"/>
        <v>10162912.275979945</v>
      </c>
      <c r="Y25" s="5">
        <f t="shared" si="1"/>
        <v>9225901.6564397849</v>
      </c>
      <c r="Z25" s="5">
        <f t="shared" si="1"/>
        <v>8412550.7857729271</v>
      </c>
      <c r="AA25" s="5">
        <f t="shared" si="1"/>
        <v>7702049.2956859889</v>
      </c>
      <c r="AB25" s="5">
        <f t="shared" si="1"/>
        <v>7077781.9073746596</v>
      </c>
      <c r="AC25" s="5">
        <f t="shared" si="1"/>
        <v>6526354.1671802932</v>
      </c>
      <c r="AD25" s="5">
        <f t="shared" si="1"/>
        <v>6036872.0321510732</v>
      </c>
      <c r="AE25" s="5">
        <f t="shared" si="1"/>
        <v>5600402.5019283611</v>
      </c>
      <c r="AF25" s="5">
        <f t="shared" si="1"/>
        <v>5209565.1491227252</v>
      </c>
    </row>
    <row r="26" spans="2:32" x14ac:dyDescent="0.3">
      <c r="B26" s="4"/>
      <c r="C26">
        <v>1.4E-3</v>
      </c>
      <c r="D26" s="5">
        <f t="shared" si="2"/>
        <v>5488101485.9274263</v>
      </c>
      <c r="E26" s="5">
        <f t="shared" si="2"/>
        <v>1584507176.7998428</v>
      </c>
      <c r="F26" s="5">
        <f t="shared" si="2"/>
        <v>673909427.34747517</v>
      </c>
      <c r="G26" s="5">
        <f t="shared" si="2"/>
        <v>355574046.22854191</v>
      </c>
      <c r="H26" s="5">
        <f t="shared" si="2"/>
        <v>215494883.07914218</v>
      </c>
      <c r="I26" s="5">
        <f t="shared" si="2"/>
        <v>143296767.48970163</v>
      </c>
      <c r="J26" s="5">
        <f t="shared" si="2"/>
        <v>101712697.29470864</v>
      </c>
      <c r="K26" s="5">
        <f t="shared" si="2"/>
        <v>75742649.266421795</v>
      </c>
      <c r="L26" s="5">
        <f t="shared" si="2"/>
        <v>58502809.478237323</v>
      </c>
      <c r="M26" s="5">
        <f t="shared" si="2"/>
        <v>46501922.386603512</v>
      </c>
      <c r="N26" s="5">
        <f t="shared" si="2"/>
        <v>37825487.881142847</v>
      </c>
      <c r="O26" s="5">
        <f t="shared" si="2"/>
        <v>31355985.635975618</v>
      </c>
      <c r="P26" s="5">
        <f t="shared" si="2"/>
        <v>26406992.382926039</v>
      </c>
      <c r="Q26" s="5">
        <f t="shared" si="2"/>
        <v>22538652.708095592</v>
      </c>
      <c r="R26" s="5">
        <f t="shared" si="2"/>
        <v>19458874.227346767</v>
      </c>
      <c r="S26" s="5">
        <f t="shared" si="2"/>
        <v>16967690.755949654</v>
      </c>
      <c r="T26" s="5">
        <f t="shared" si="4"/>
        <v>14924558.875969168</v>
      </c>
      <c r="U26" s="5">
        <f t="shared" si="4"/>
        <v>13228409.756188584</v>
      </c>
      <c r="V26" s="5">
        <f t="shared" si="4"/>
        <v>11805082.599032436</v>
      </c>
      <c r="W26" s="5">
        <f t="shared" si="3"/>
        <v>10599180.771537034</v>
      </c>
      <c r="X26" s="5">
        <f t="shared" si="1"/>
        <v>9568660.073990725</v>
      </c>
      <c r="Y26" s="5">
        <f t="shared" si="1"/>
        <v>8681151.2638227083</v>
      </c>
      <c r="Z26" s="5">
        <f t="shared" si="1"/>
        <v>7911410.4630355695</v>
      </c>
      <c r="AA26" s="5">
        <f t="shared" si="1"/>
        <v>7239519.2737883944</v>
      </c>
      <c r="AB26" s="5">
        <f t="shared" si="1"/>
        <v>6649593.1537451157</v>
      </c>
      <c r="AC26" s="5">
        <f t="shared" si="1"/>
        <v>6128840.5906006256</v>
      </c>
      <c r="AD26" s="5">
        <f t="shared" si="1"/>
        <v>5666868.3857515007</v>
      </c>
      <c r="AE26" s="5">
        <f t="shared" si="1"/>
        <v>5255162.2033854481</v>
      </c>
      <c r="AF26" s="5">
        <f t="shared" si="1"/>
        <v>4886693.6628545653</v>
      </c>
    </row>
    <row r="27" spans="2:32" x14ac:dyDescent="0.3">
      <c r="B27" s="4"/>
      <c r="C27">
        <v>1.5E-3</v>
      </c>
      <c r="D27" s="5">
        <f t="shared" si="2"/>
        <v>5704113160.4135294</v>
      </c>
      <c r="E27" s="5">
        <f t="shared" si="2"/>
        <v>1584475877.8926468</v>
      </c>
      <c r="F27" s="5">
        <f t="shared" si="2"/>
        <v>671072136.51923883</v>
      </c>
      <c r="G27" s="5">
        <f t="shared" si="2"/>
        <v>351238495.09935528</v>
      </c>
      <c r="H27" s="5">
        <f t="shared" si="2"/>
        <v>211263450.38568622</v>
      </c>
      <c r="I27" s="5">
        <f t="shared" si="2"/>
        <v>139611161.26886255</v>
      </c>
      <c r="J27" s="5">
        <f t="shared" si="2"/>
        <v>98601783.239646152</v>
      </c>
      <c r="K27" s="5">
        <f t="shared" si="2"/>
        <v>73129655.902737558</v>
      </c>
      <c r="L27" s="5">
        <f t="shared" si="2"/>
        <v>56297998.030137487</v>
      </c>
      <c r="M27" s="5">
        <f t="shared" si="2"/>
        <v>44626774.370233878</v>
      </c>
      <c r="N27" s="5">
        <f t="shared" si="2"/>
        <v>36216591.494689077</v>
      </c>
      <c r="O27" s="5">
        <f t="shared" si="2"/>
        <v>29963419.704774473</v>
      </c>
      <c r="P27" s="5">
        <f t="shared" si="2"/>
        <v>25191666.954507682</v>
      </c>
      <c r="Q27" s="5">
        <f t="shared" si="2"/>
        <v>21469862.844073813</v>
      </c>
      <c r="R27" s="5">
        <f t="shared" si="2"/>
        <v>18512334.800530735</v>
      </c>
      <c r="S27" s="5">
        <f t="shared" si="2"/>
        <v>16124031.215003321</v>
      </c>
      <c r="T27" s="5">
        <f t="shared" si="4"/>
        <v>14168189.668190587</v>
      </c>
      <c r="U27" s="5">
        <f t="shared" si="4"/>
        <v>12546671.688800309</v>
      </c>
      <c r="V27" s="5">
        <f t="shared" si="4"/>
        <v>11187606.716380049</v>
      </c>
      <c r="W27" s="5">
        <f t="shared" si="3"/>
        <v>10037403.751356136</v>
      </c>
      <c r="X27" s="5">
        <f t="shared" si="1"/>
        <v>9055454.5770744476</v>
      </c>
      <c r="Y27" s="5">
        <f t="shared" si="1"/>
        <v>8210541.6357618356</v>
      </c>
      <c r="Z27" s="5">
        <f t="shared" si="1"/>
        <v>7478352.2260419922</v>
      </c>
      <c r="AA27" s="5">
        <f t="shared" si="1"/>
        <v>6839726.656674508</v>
      </c>
      <c r="AB27" s="5">
        <f t="shared" si="1"/>
        <v>6279403.0896245129</v>
      </c>
      <c r="AC27" s="5">
        <f t="shared" si="1"/>
        <v>5785104.6251658546</v>
      </c>
      <c r="AD27" s="5">
        <f t="shared" si="1"/>
        <v>5346866.1198086021</v>
      </c>
      <c r="AE27" s="5">
        <f t="shared" si="1"/>
        <v>4956531.4811527673</v>
      </c>
      <c r="AF27" s="5">
        <f t="shared" si="1"/>
        <v>4607373.8816302614</v>
      </c>
    </row>
    <row r="28" spans="2:32" x14ac:dyDescent="0.3">
      <c r="B28" s="4"/>
      <c r="C28">
        <v>1.6000000000000001E-3</v>
      </c>
      <c r="D28" s="5">
        <f t="shared" si="2"/>
        <v>6143848906.1209612</v>
      </c>
      <c r="E28" s="5">
        <f t="shared" ref="E28:T42" si="5">($F$10*(E$12/2))
/
((PI()*((E$12))^4)/(64)-(PI()*(E$12-$C28*2)^4)/(64))</f>
        <v>1584507176.7998428</v>
      </c>
      <c r="F28" s="5">
        <f t="shared" si="5"/>
        <v>669521996.17984831</v>
      </c>
      <c r="G28" s="5">
        <f t="shared" si="5"/>
        <v>348093422.44311392</v>
      </c>
      <c r="H28" s="5">
        <f t="shared" si="5"/>
        <v>207920566.82957461</v>
      </c>
      <c r="I28" s="5">
        <f t="shared" si="5"/>
        <v>136587365.34087974</v>
      </c>
      <c r="J28" s="5">
        <f t="shared" si="5"/>
        <v>95997639.158140019</v>
      </c>
      <c r="K28" s="5">
        <f t="shared" si="5"/>
        <v>70915967.83436805</v>
      </c>
      <c r="L28" s="5">
        <f t="shared" si="5"/>
        <v>54415667.085576914</v>
      </c>
      <c r="M28" s="5">
        <f t="shared" si="5"/>
        <v>43017466.669585407</v>
      </c>
      <c r="N28" s="5">
        <f t="shared" si="5"/>
        <v>34830624.078720428</v>
      </c>
      <c r="O28" s="5">
        <f t="shared" si="5"/>
        <v>28760504.514437698</v>
      </c>
      <c r="P28" s="5">
        <f t="shared" si="5"/>
        <v>24139664.536877006</v>
      </c>
      <c r="Q28" s="5">
        <f t="shared" si="5"/>
        <v>20543207.149766367</v>
      </c>
      <c r="R28" s="5">
        <f t="shared" si="5"/>
        <v>17690621.850280546</v>
      </c>
      <c r="S28" s="5">
        <f t="shared" si="5"/>
        <v>15390876.662330789</v>
      </c>
      <c r="T28" s="5">
        <f t="shared" si="5"/>
        <v>13510339.374168288</v>
      </c>
      <c r="U28" s="5">
        <f t="shared" si="4"/>
        <v>11953319.429260241</v>
      </c>
      <c r="V28" s="5">
        <f t="shared" si="4"/>
        <v>10649872.685787614</v>
      </c>
      <c r="W28" s="5">
        <f t="shared" si="3"/>
        <v>9547935.1928494833</v>
      </c>
      <c r="X28" s="5">
        <f t="shared" si="1"/>
        <v>8608118.4520864282</v>
      </c>
      <c r="Y28" s="5">
        <f t="shared" si="1"/>
        <v>7800186.6148654222</v>
      </c>
      <c r="Z28" s="5">
        <f t="shared" si="1"/>
        <v>7100623.0559320347</v>
      </c>
      <c r="AA28" s="5">
        <f t="shared" si="1"/>
        <v>6490918.3080525212</v>
      </c>
      <c r="AB28" s="5">
        <f t="shared" si="1"/>
        <v>5956345.3118471121</v>
      </c>
      <c r="AC28" s="5">
        <f t="shared" si="1"/>
        <v>5485069.9031700203</v>
      </c>
      <c r="AD28" s="5">
        <f t="shared" si="1"/>
        <v>5067495.7708031368</v>
      </c>
      <c r="AE28" s="5">
        <f t="shared" si="1"/>
        <v>4695775.9123973381</v>
      </c>
      <c r="AF28" s="5">
        <f t="shared" si="1"/>
        <v>4363443.981041044</v>
      </c>
    </row>
    <row r="29" spans="2:32" x14ac:dyDescent="0.3">
      <c r="B29" s="4"/>
      <c r="C29">
        <v>1.6999999999999999E-3</v>
      </c>
      <c r="D29" s="5">
        <f t="shared" ref="D29:D42" si="6">($F$10*(D$12/2))
/
((PI()*((D$12))^4)/(64)-(PI()*(D$12-$C29*2)^4)/(64))</f>
        <v>7037249753.7671843</v>
      </c>
      <c r="E29" s="5">
        <f t="shared" si="5"/>
        <v>1584976808.8346982</v>
      </c>
      <c r="F29" s="5">
        <f t="shared" si="5"/>
        <v>668789335.58710146</v>
      </c>
      <c r="G29" s="5">
        <f t="shared" si="5"/>
        <v>345873536.51910228</v>
      </c>
      <c r="H29" s="5">
        <f t="shared" si="5"/>
        <v>205298407.98402753</v>
      </c>
      <c r="I29" s="5">
        <f t="shared" si="5"/>
        <v>134106937.4004989</v>
      </c>
      <c r="J29" s="5">
        <f t="shared" si="5"/>
        <v>93811108.574229851</v>
      </c>
      <c r="K29" s="5">
        <f t="shared" si="5"/>
        <v>69031673.533225849</v>
      </c>
      <c r="L29" s="5">
        <f t="shared" si="5"/>
        <v>52799394.40012373</v>
      </c>
      <c r="M29" s="5">
        <f t="shared" si="5"/>
        <v>41627456.335127361</v>
      </c>
      <c r="N29" s="5">
        <f t="shared" si="5"/>
        <v>33628516.2140797</v>
      </c>
      <c r="O29" s="5">
        <f t="shared" si="5"/>
        <v>27713969.342457891</v>
      </c>
      <c r="P29" s="5">
        <f t="shared" si="5"/>
        <v>23222307.449256871</v>
      </c>
      <c r="Q29" s="5">
        <f t="shared" si="5"/>
        <v>19733709.453998066</v>
      </c>
      <c r="R29" s="5">
        <f t="shared" si="5"/>
        <v>16971786.612105247</v>
      </c>
      <c r="S29" s="5">
        <f t="shared" si="5"/>
        <v>14748786.30139407</v>
      </c>
      <c r="T29" s="5">
        <f t="shared" si="5"/>
        <v>12933668.3038792</v>
      </c>
      <c r="U29" s="5">
        <f t="shared" si="4"/>
        <v>11432791.112663144</v>
      </c>
      <c r="V29" s="5">
        <f t="shared" si="4"/>
        <v>10177836.319025291</v>
      </c>
      <c r="W29" s="5">
        <f t="shared" si="3"/>
        <v>9118036.8575197943</v>
      </c>
      <c r="X29" s="5">
        <f t="shared" si="3"/>
        <v>8215045.3305182131</v>
      </c>
      <c r="Y29" s="5">
        <f t="shared" si="3"/>
        <v>7439467.2535242578</v>
      </c>
      <c r="Z29" s="5">
        <f t="shared" si="3"/>
        <v>6768470.5576319313</v>
      </c>
      <c r="AA29" s="5">
        <f t="shared" si="3"/>
        <v>6184106.4729935052</v>
      </c>
      <c r="AB29" s="5">
        <f t="shared" si="3"/>
        <v>5672110.1723780502</v>
      </c>
      <c r="AC29" s="5">
        <f t="shared" si="3"/>
        <v>5221030.9333022982</v>
      </c>
      <c r="AD29" s="5">
        <f t="shared" si="3"/>
        <v>4821592.4298016559</v>
      </c>
      <c r="AE29" s="5">
        <f t="shared" si="3"/>
        <v>4466216.2137670927</v>
      </c>
      <c r="AF29" s="5">
        <f t="shared" si="3"/>
        <v>4148662.5516878841</v>
      </c>
    </row>
    <row r="30" spans="2:32" x14ac:dyDescent="0.3">
      <c r="B30" s="4"/>
      <c r="C30">
        <v>1.8E-3</v>
      </c>
      <c r="D30" s="5">
        <f t="shared" si="6"/>
        <v>9057598387.3436375</v>
      </c>
      <c r="E30" s="5">
        <f t="shared" si="5"/>
        <v>1587015102.0559363</v>
      </c>
      <c r="F30" s="5">
        <f t="shared" si="5"/>
        <v>668517612.7472353</v>
      </c>
      <c r="G30" s="5">
        <f t="shared" si="5"/>
        <v>344363440.17163312</v>
      </c>
      <c r="H30" s="5">
        <f t="shared" si="5"/>
        <v>203263017.99731204</v>
      </c>
      <c r="I30" s="5">
        <f t="shared" si="5"/>
        <v>132076554.06806336</v>
      </c>
      <c r="J30" s="5">
        <f t="shared" si="5"/>
        <v>91972394.001879558</v>
      </c>
      <c r="K30" s="5">
        <f t="shared" si="5"/>
        <v>67422210.218062669</v>
      </c>
      <c r="L30" s="5">
        <f t="shared" si="5"/>
        <v>51405212.186967298</v>
      </c>
      <c r="M30" s="5">
        <f t="shared" si="5"/>
        <v>40420502.985216811</v>
      </c>
      <c r="N30" s="5">
        <f t="shared" si="5"/>
        <v>32579859.971144374</v>
      </c>
      <c r="O30" s="5">
        <f t="shared" si="5"/>
        <v>26797925.865125883</v>
      </c>
      <c r="P30" s="5">
        <f t="shared" si="5"/>
        <v>22417284.579881359</v>
      </c>
      <c r="Q30" s="5">
        <f t="shared" si="5"/>
        <v>19021940.186914235</v>
      </c>
      <c r="R30" s="5">
        <f t="shared" si="5"/>
        <v>16338755.608497528</v>
      </c>
      <c r="S30" s="5">
        <f t="shared" si="5"/>
        <v>14182638.129764909</v>
      </c>
      <c r="T30" s="5">
        <f t="shared" si="5"/>
        <v>12424689.14587605</v>
      </c>
      <c r="U30" s="5">
        <f t="shared" si="4"/>
        <v>10972982.485421486</v>
      </c>
      <c r="V30" s="5">
        <f t="shared" si="4"/>
        <v>9760573.9696610067</v>
      </c>
      <c r="W30" s="5">
        <f t="shared" si="3"/>
        <v>8737800.9612227883</v>
      </c>
      <c r="X30" s="5">
        <f t="shared" si="3"/>
        <v>7867207.852792792</v>
      </c>
      <c r="Y30" s="5">
        <f t="shared" si="3"/>
        <v>7120124.240594008</v>
      </c>
      <c r="Z30" s="5">
        <f t="shared" si="3"/>
        <v>6474309.4423495643</v>
      </c>
      <c r="AA30" s="5">
        <f t="shared" si="3"/>
        <v>5912300.6084392099</v>
      </c>
      <c r="AB30" s="5">
        <f t="shared" si="3"/>
        <v>5420234.5626034001</v>
      </c>
      <c r="AC30" s="5">
        <f t="shared" si="3"/>
        <v>4986994.5193925994</v>
      </c>
      <c r="AD30" s="5">
        <f t="shared" si="3"/>
        <v>4603583.3627767134</v>
      </c>
      <c r="AE30" s="5">
        <f t="shared" si="3"/>
        <v>4262657.3666961621</v>
      </c>
      <c r="AF30" s="5">
        <f t="shared" si="3"/>
        <v>3958175.1485384903</v>
      </c>
    </row>
    <row r="31" spans="2:32" x14ac:dyDescent="0.3">
      <c r="B31" s="4"/>
      <c r="C31">
        <v>1.9E-3</v>
      </c>
      <c r="D31" s="5">
        <f t="shared" si="6"/>
        <v>15549886850.502136</v>
      </c>
      <c r="E31" s="5">
        <f t="shared" si="5"/>
        <v>1592528962.6221535</v>
      </c>
      <c r="F31" s="5">
        <f t="shared" si="5"/>
        <v>668454938.8293283</v>
      </c>
      <c r="G31" s="5">
        <f t="shared" si="5"/>
        <v>343386062.16642505</v>
      </c>
      <c r="H31" s="5">
        <f t="shared" si="5"/>
        <v>201705371.58268213</v>
      </c>
      <c r="I31" s="5">
        <f t="shared" si="5"/>
        <v>130421327.92883848</v>
      </c>
      <c r="J31" s="5">
        <f t="shared" si="5"/>
        <v>90425924.930430651</v>
      </c>
      <c r="K31" s="5">
        <f t="shared" si="5"/>
        <v>66044307.219204105</v>
      </c>
      <c r="L31" s="5">
        <f t="shared" si="5"/>
        <v>50198321.32904011</v>
      </c>
      <c r="M31" s="5">
        <f t="shared" si="5"/>
        <v>39367953.489792697</v>
      </c>
      <c r="N31" s="5">
        <f t="shared" si="5"/>
        <v>31660627.430758346</v>
      </c>
      <c r="O31" s="5">
        <f t="shared" si="5"/>
        <v>25991924.256150462</v>
      </c>
      <c r="P31" s="5">
        <f t="shared" si="5"/>
        <v>21706975.31192667</v>
      </c>
      <c r="Q31" s="5">
        <f t="shared" si="5"/>
        <v>18392556.358424563</v>
      </c>
      <c r="R31" s="5">
        <f t="shared" si="5"/>
        <v>15778047.441228576</v>
      </c>
      <c r="S31" s="5">
        <f t="shared" si="5"/>
        <v>13680492.26524693</v>
      </c>
      <c r="T31" s="5">
        <f t="shared" si="5"/>
        <v>11972753.087259484</v>
      </c>
      <c r="U31" s="5">
        <f t="shared" si="4"/>
        <v>10564336.943978583</v>
      </c>
      <c r="V31" s="5">
        <f t="shared" si="4"/>
        <v>9389461.2949110139</v>
      </c>
      <c r="W31" s="5">
        <f t="shared" si="3"/>
        <v>8399405.2881767657</v>
      </c>
      <c r="X31" s="5">
        <f t="shared" si="3"/>
        <v>7557478.960955427</v>
      </c>
      <c r="Y31" s="5">
        <f t="shared" si="3"/>
        <v>6835636.929638179</v>
      </c>
      <c r="Z31" s="5">
        <f t="shared" si="3"/>
        <v>6212151.2257421436</v>
      </c>
      <c r="AA31" s="5">
        <f t="shared" si="3"/>
        <v>5669981.7932758275</v>
      </c>
      <c r="AB31" s="5">
        <f t="shared" si="3"/>
        <v>5195615.9760667086</v>
      </c>
      <c r="AC31" s="5">
        <f t="shared" si="3"/>
        <v>4778229.152038916</v>
      </c>
      <c r="AD31" s="5">
        <f t="shared" si="3"/>
        <v>4409069.0138754332</v>
      </c>
      <c r="AE31" s="5">
        <f t="shared" si="3"/>
        <v>4080998.0188481612</v>
      </c>
      <c r="AF31" s="5">
        <f t="shared" si="3"/>
        <v>3788149.2983204615</v>
      </c>
    </row>
    <row r="32" spans="2:32" x14ac:dyDescent="0.3">
      <c r="B32" s="4"/>
      <c r="C32">
        <v>2E-3</v>
      </c>
      <c r="D32" s="5"/>
      <c r="E32" s="5">
        <f t="shared" si="5"/>
        <v>1604281826.3663049</v>
      </c>
      <c r="F32" s="5">
        <f t="shared" si="5"/>
        <v>668450760.98596048</v>
      </c>
      <c r="G32" s="5">
        <f t="shared" si="5"/>
        <v>342795262.04408234</v>
      </c>
      <c r="H32" s="5">
        <f t="shared" si="5"/>
        <v>200535228.29578811</v>
      </c>
      <c r="I32" s="5">
        <f t="shared" si="5"/>
        <v>129080146.94901301</v>
      </c>
      <c r="J32" s="5">
        <f t="shared" si="5"/>
        <v>89126768.131461397</v>
      </c>
      <c r="K32" s="5">
        <f t="shared" si="5"/>
        <v>64863146.618583769</v>
      </c>
      <c r="L32" s="5">
        <f t="shared" si="5"/>
        <v>49150791.248967685</v>
      </c>
      <c r="M32" s="5">
        <f t="shared" si="5"/>
        <v>38446841.15474806</v>
      </c>
      <c r="N32" s="5">
        <f t="shared" si="5"/>
        <v>30851573.583967403</v>
      </c>
      <c r="O32" s="5">
        <f t="shared" si="5"/>
        <v>25279592.41546905</v>
      </c>
      <c r="P32" s="5">
        <f t="shared" si="5"/>
        <v>21077276.24730505</v>
      </c>
      <c r="Q32" s="5">
        <f t="shared" si="5"/>
        <v>17833279.52830486</v>
      </c>
      <c r="R32" s="5">
        <f t="shared" si="5"/>
        <v>15278874.536821954</v>
      </c>
      <c r="S32" s="5">
        <f t="shared" si="5"/>
        <v>13232795.26842658</v>
      </c>
      <c r="T32" s="5">
        <f t="shared" si="5"/>
        <v>11569340.093987776</v>
      </c>
      <c r="U32" s="5">
        <f t="shared" si="4"/>
        <v>10199208.559512747</v>
      </c>
      <c r="V32" s="5">
        <f t="shared" si="4"/>
        <v>9057598.3873436376</v>
      </c>
      <c r="W32" s="5">
        <f t="shared" si="4"/>
        <v>8096591.7696929611</v>
      </c>
      <c r="X32" s="5">
        <f t="shared" si="4"/>
        <v>7280156.8028173931</v>
      </c>
      <c r="Y32" s="5">
        <f t="shared" si="4"/>
        <v>6580788.6581817418</v>
      </c>
      <c r="Z32" s="5">
        <f t="shared" si="4"/>
        <v>5977205.0162679013</v>
      </c>
      <c r="AA32" s="5">
        <f t="shared" si="4"/>
        <v>5452734.8151232563</v>
      </c>
      <c r="AB32" s="5">
        <f t="shared" si="4"/>
        <v>4994172.3521939563</v>
      </c>
      <c r="AC32" s="5">
        <f t="shared" si="4"/>
        <v>4590949.5826062793</v>
      </c>
      <c r="AD32" s="5">
        <f t="shared" si="4"/>
        <v>4234529.707603367</v>
      </c>
      <c r="AE32" s="5">
        <f t="shared" si="4"/>
        <v>3917957.0650483267</v>
      </c>
      <c r="AF32" s="5">
        <f t="shared" si="4"/>
        <v>3635519.0046372036</v>
      </c>
    </row>
    <row r="33" spans="3:32" x14ac:dyDescent="0.3">
      <c r="C33">
        <v>2.0999999999999999E-3</v>
      </c>
      <c r="D33" s="5"/>
      <c r="E33" s="5">
        <f t="shared" si="5"/>
        <v>1626104143.9784963</v>
      </c>
      <c r="F33" s="5">
        <f t="shared" si="5"/>
        <v>668454938.8293283</v>
      </c>
      <c r="G33" s="5">
        <f t="shared" si="5"/>
        <v>342471231.57113421</v>
      </c>
      <c r="H33" s="5">
        <f t="shared" si="5"/>
        <v>199676867.3622148</v>
      </c>
      <c r="I33" s="5">
        <f t="shared" si="5"/>
        <v>128002367.01871543</v>
      </c>
      <c r="J33" s="5">
        <f t="shared" si="5"/>
        <v>88038067.38071464</v>
      </c>
      <c r="K33" s="5">
        <f t="shared" si="5"/>
        <v>63850335.727153249</v>
      </c>
      <c r="L33" s="5">
        <f t="shared" si="5"/>
        <v>48239916.978361018</v>
      </c>
      <c r="M33" s="5">
        <f t="shared" si="5"/>
        <v>37638527.93693997</v>
      </c>
      <c r="N33" s="5">
        <f t="shared" si="5"/>
        <v>30137095.494728487</v>
      </c>
      <c r="O33" s="5">
        <f t="shared" si="5"/>
        <v>24647663.955358606</v>
      </c>
      <c r="P33" s="5">
        <f t="shared" si="5"/>
        <v>20516763.130516566</v>
      </c>
      <c r="Q33" s="5">
        <f t="shared" si="5"/>
        <v>17334165.771329578</v>
      </c>
      <c r="R33" s="5">
        <f t="shared" si="5"/>
        <v>14832501.527721329</v>
      </c>
      <c r="S33" s="5">
        <f t="shared" si="5"/>
        <v>12831811.796274409</v>
      </c>
      <c r="T33" s="5">
        <f t="shared" si="5"/>
        <v>11207551.964783071</v>
      </c>
      <c r="U33" s="5">
        <f t="shared" si="4"/>
        <v>9871407.093315376</v>
      </c>
      <c r="V33" s="5">
        <f t="shared" si="4"/>
        <v>8759399.1531547904</v>
      </c>
      <c r="W33" s="5">
        <f t="shared" si="4"/>
        <v>7824294.0393854994</v>
      </c>
      <c r="X33" s="5">
        <f t="shared" si="4"/>
        <v>7030625.3770660376</v>
      </c>
      <c r="Y33" s="5">
        <f t="shared" si="4"/>
        <v>6351356.2609694758</v>
      </c>
      <c r="Z33" s="5">
        <f t="shared" si="4"/>
        <v>5765592.3636583025</v>
      </c>
      <c r="AA33" s="5">
        <f t="shared" si="4"/>
        <v>5256985.3749328116</v>
      </c>
      <c r="AB33" s="5">
        <f t="shared" si="4"/>
        <v>4812599.1073426139</v>
      </c>
      <c r="AC33" s="5">
        <f t="shared" si="4"/>
        <v>4422091.5188056817</v>
      </c>
      <c r="AD33" s="5">
        <f t="shared" si="4"/>
        <v>4077116.1502842712</v>
      </c>
      <c r="AE33" s="5">
        <f t="shared" si="4"/>
        <v>3770878.347874112</v>
      </c>
      <c r="AF33" s="5">
        <f t="shared" si="4"/>
        <v>3497802.2515651663</v>
      </c>
    </row>
    <row r="34" spans="3:32" x14ac:dyDescent="0.3">
      <c r="C34">
        <v>2.2000000000000001E-3</v>
      </c>
      <c r="D34" s="5"/>
      <c r="E34" s="5">
        <f t="shared" si="5"/>
        <v>1663364534.6365969</v>
      </c>
      <c r="F34" s="5">
        <f t="shared" si="5"/>
        <v>668517612.7472353</v>
      </c>
      <c r="G34" s="5">
        <f t="shared" si="5"/>
        <v>342317772.63814604</v>
      </c>
      <c r="H34" s="5">
        <f t="shared" si="5"/>
        <v>199066120.32776919</v>
      </c>
      <c r="I34" s="5">
        <f t="shared" si="5"/>
        <v>127145431.90789862</v>
      </c>
      <c r="J34" s="5">
        <f t="shared" si="5"/>
        <v>87129186.319770142</v>
      </c>
      <c r="K34" s="5">
        <f t="shared" si="5"/>
        <v>62982433.436421894</v>
      </c>
      <c r="L34" s="5">
        <f t="shared" si="5"/>
        <v>47447024.422002316</v>
      </c>
      <c r="M34" s="5">
        <f t="shared" si="5"/>
        <v>36927716.941373169</v>
      </c>
      <c r="N34" s="5">
        <f t="shared" si="5"/>
        <v>29504402.562943406</v>
      </c>
      <c r="O34" s="5">
        <f t="shared" si="5"/>
        <v>24085271.252802104</v>
      </c>
      <c r="P34" s="5">
        <f t="shared" si="5"/>
        <v>20016081.319750119</v>
      </c>
      <c r="Q34" s="5">
        <f t="shared" si="5"/>
        <v>16887074.730644844</v>
      </c>
      <c r="R34" s="5">
        <f t="shared" si="5"/>
        <v>14431778.61264359</v>
      </c>
      <c r="S34" s="5">
        <f t="shared" si="5"/>
        <v>12471211.254319422</v>
      </c>
      <c r="T34" s="5">
        <f t="shared" si="5"/>
        <v>10881743.639817769</v>
      </c>
      <c r="U34" s="5">
        <f t="shared" si="4"/>
        <v>9575867.0967421532</v>
      </c>
      <c r="V34" s="5">
        <f t="shared" si="4"/>
        <v>8490292.6767509449</v>
      </c>
      <c r="W34" s="5">
        <f t="shared" si="4"/>
        <v>7578366.5632561073</v>
      </c>
      <c r="X34" s="5">
        <f t="shared" si="4"/>
        <v>6805107.7290335372</v>
      </c>
      <c r="Y34" s="5">
        <f t="shared" si="4"/>
        <v>6143884.2609536629</v>
      </c>
      <c r="Z34" s="5">
        <f t="shared" si="4"/>
        <v>5574139.8756528655</v>
      </c>
      <c r="AA34" s="5">
        <f t="shared" si="4"/>
        <v>5079808.9628167376</v>
      </c>
      <c r="AB34" s="5">
        <f t="shared" si="4"/>
        <v>4648192.4299341813</v>
      </c>
      <c r="AC34" s="5">
        <f t="shared" si="4"/>
        <v>4269147.7668038234</v>
      </c>
      <c r="AD34" s="5">
        <f t="shared" si="4"/>
        <v>3934497.0673890971</v>
      </c>
      <c r="AE34" s="5">
        <f t="shared" si="4"/>
        <v>3637588.6216487386</v>
      </c>
      <c r="AF34" s="5">
        <f t="shared" si="4"/>
        <v>3372968.2789424034</v>
      </c>
    </row>
    <row r="35" spans="3:32" x14ac:dyDescent="0.3">
      <c r="C35">
        <v>2.3E-3</v>
      </c>
      <c r="D35" s="5"/>
      <c r="E35" s="5">
        <f t="shared" si="5"/>
        <v>1723959064.6331375</v>
      </c>
      <c r="F35" s="5">
        <f t="shared" si="5"/>
        <v>668789335.58710146</v>
      </c>
      <c r="G35" s="5">
        <f t="shared" si="5"/>
        <v>342260808.62753314</v>
      </c>
      <c r="H35" s="5">
        <f t="shared" si="5"/>
        <v>198648317.58908874</v>
      </c>
      <c r="I35" s="5">
        <f t="shared" si="5"/>
        <v>126473142.96955304</v>
      </c>
      <c r="J35" s="5">
        <f t="shared" si="5"/>
        <v>86374341.763248295</v>
      </c>
      <c r="K35" s="5">
        <f t="shared" si="5"/>
        <v>62239862.246708937</v>
      </c>
      <c r="L35" s="5">
        <f t="shared" si="5"/>
        <v>46756587.523952134</v>
      </c>
      <c r="M35" s="5">
        <f t="shared" si="5"/>
        <v>36301722.543744504</v>
      </c>
      <c r="N35" s="5">
        <f t="shared" si="5"/>
        <v>28942903.218535013</v>
      </c>
      <c r="O35" s="5">
        <f t="shared" si="5"/>
        <v>23583422.900856599</v>
      </c>
      <c r="P35" s="5">
        <f t="shared" si="5"/>
        <v>19567495.249406856</v>
      </c>
      <c r="Q35" s="5">
        <f t="shared" si="5"/>
        <v>16485277.168156592</v>
      </c>
      <c r="R35" s="5">
        <f t="shared" si="5"/>
        <v>14070796.641948802</v>
      </c>
      <c r="S35" s="5">
        <f t="shared" si="5"/>
        <v>12145762.274079623</v>
      </c>
      <c r="T35" s="5">
        <f t="shared" si="5"/>
        <v>10587250.686711643</v>
      </c>
      <c r="U35" s="5">
        <f t="shared" si="4"/>
        <v>9308403.3308994528</v>
      </c>
      <c r="V35" s="5">
        <f t="shared" si="4"/>
        <v>8246502.4888641024</v>
      </c>
      <c r="W35" s="5">
        <f t="shared" si="4"/>
        <v>7355384.4305666573</v>
      </c>
      <c r="X35" s="5">
        <f t="shared" si="4"/>
        <v>6600483.5295341313</v>
      </c>
      <c r="Y35" s="5">
        <f t="shared" si="4"/>
        <v>5955517.9665282415</v>
      </c>
      <c r="Z35" s="5">
        <f t="shared" si="4"/>
        <v>5400225.9343943037</v>
      </c>
      <c r="AA35" s="5">
        <f t="shared" si="4"/>
        <v>4918789.5921250423</v>
      </c>
      <c r="AB35" s="5">
        <f t="shared" si="4"/>
        <v>4498718.6723396657</v>
      </c>
      <c r="AC35" s="5">
        <f t="shared" si="4"/>
        <v>4130047.1187449088</v>
      </c>
      <c r="AD35" s="5">
        <f t="shared" si="4"/>
        <v>3804746.5875559775</v>
      </c>
      <c r="AE35" s="5">
        <f t="shared" si="4"/>
        <v>3516292.5692362483</v>
      </c>
      <c r="AF35" s="5">
        <f t="shared" si="4"/>
        <v>3259339.4814419812</v>
      </c>
    </row>
    <row r="36" spans="3:32" x14ac:dyDescent="0.3">
      <c r="C36">
        <v>2.3999999999999998E-3</v>
      </c>
      <c r="D36" s="5"/>
      <c r="E36" s="5">
        <f t="shared" si="5"/>
        <v>1820399675.8876913</v>
      </c>
      <c r="F36" s="5">
        <f t="shared" si="5"/>
        <v>669521996.17984831</v>
      </c>
      <c r="G36" s="5">
        <f t="shared" si="5"/>
        <v>342247665.77883619</v>
      </c>
      <c r="H36" s="5">
        <f t="shared" si="5"/>
        <v>198376887.75699204</v>
      </c>
      <c r="I36" s="5">
        <f t="shared" si="5"/>
        <v>125954393.23442842</v>
      </c>
      <c r="J36" s="5">
        <f t="shared" si="5"/>
        <v>85751585.717616037</v>
      </c>
      <c r="K36" s="5">
        <f t="shared" si="5"/>
        <v>61606093.875429526</v>
      </c>
      <c r="L36" s="5">
        <f t="shared" si="5"/>
        <v>46155566.487275764</v>
      </c>
      <c r="M36" s="5">
        <f t="shared" si="5"/>
        <v>35749923.038996793</v>
      </c>
      <c r="N36" s="5">
        <f t="shared" si="5"/>
        <v>28443744.935745183</v>
      </c>
      <c r="O36" s="5">
        <f t="shared" si="5"/>
        <v>23134611.781690631</v>
      </c>
      <c r="P36" s="5">
        <f t="shared" si="5"/>
        <v>19164550.513857163</v>
      </c>
      <c r="Q36" s="5">
        <f t="shared" si="5"/>
        <v>16123160.617948717</v>
      </c>
      <c r="R36" s="5">
        <f t="shared" si="5"/>
        <v>13744628.425326537</v>
      </c>
      <c r="S36" s="5">
        <f t="shared" si="5"/>
        <v>11851103.566909751</v>
      </c>
      <c r="T36" s="5">
        <f t="shared" si="5"/>
        <v>10320184.912213461</v>
      </c>
      <c r="U36" s="5">
        <f t="shared" si="4"/>
        <v>9065527.3295180239</v>
      </c>
      <c r="V36" s="5">
        <f t="shared" si="4"/>
        <v>8024881.0163544435</v>
      </c>
      <c r="W36" s="5">
        <f t="shared" si="4"/>
        <v>7152493.1961117107</v>
      </c>
      <c r="X36" s="5">
        <f t="shared" si="4"/>
        <v>6414152.2583784573</v>
      </c>
      <c r="Y36" s="5">
        <f t="shared" si="4"/>
        <v>5783878.2940220693</v>
      </c>
      <c r="Z36" s="5">
        <f t="shared" si="4"/>
        <v>5241665.7334164567</v>
      </c>
      <c r="AA36" s="5">
        <f t="shared" si="4"/>
        <v>4771913.8497805381</v>
      </c>
      <c r="AB36" s="5">
        <f t="shared" si="4"/>
        <v>4362316.3946311856</v>
      </c>
      <c r="AC36" s="5">
        <f t="shared" si="4"/>
        <v>4003063.5182720865</v>
      </c>
      <c r="AD36" s="5">
        <f t="shared" si="4"/>
        <v>3686259.7805158617</v>
      </c>
      <c r="AE36" s="5">
        <f t="shared" si="4"/>
        <v>3405494.0645705373</v>
      </c>
      <c r="AF36" s="5">
        <f t="shared" si="4"/>
        <v>3155517.8328259615</v>
      </c>
    </row>
    <row r="37" spans="3:32" x14ac:dyDescent="0.3">
      <c r="C37">
        <v>2.5000000000000001E-3</v>
      </c>
      <c r="D37" s="5"/>
      <c r="E37" s="5">
        <f t="shared" si="5"/>
        <v>1974500709.3739138</v>
      </c>
      <c r="F37" s="5">
        <f t="shared" si="5"/>
        <v>671072136.51923883</v>
      </c>
      <c r="G37" s="5">
        <f t="shared" si="5"/>
        <v>342246789.62481177</v>
      </c>
      <c r="H37" s="5">
        <f t="shared" si="5"/>
        <v>198212426.42363611</v>
      </c>
      <c r="I37" s="5">
        <f t="shared" si="5"/>
        <v>125562239.380172</v>
      </c>
      <c r="J37" s="5">
        <f t="shared" si="5"/>
        <v>85242039.75711377</v>
      </c>
      <c r="K37" s="5">
        <f t="shared" si="5"/>
        <v>61067032.248677753</v>
      </c>
      <c r="L37" s="5">
        <f t="shared" si="5"/>
        <v>45632905.283308238</v>
      </c>
      <c r="M37" s="5">
        <f t="shared" si="5"/>
        <v>35263344.753399499</v>
      </c>
      <c r="N37" s="5">
        <f t="shared" si="5"/>
        <v>27999464.654334202</v>
      </c>
      <c r="O37" s="5">
        <f t="shared" si="5"/>
        <v>22732517.193554841</v>
      </c>
      <c r="P37" s="5">
        <f t="shared" si="5"/>
        <v>18801817.041074254</v>
      </c>
      <c r="Q37" s="5">
        <f t="shared" si="5"/>
        <v>15796005.674991312</v>
      </c>
      <c r="R37" s="5">
        <f t="shared" si="5"/>
        <v>13449132.120043688</v>
      </c>
      <c r="S37" s="5">
        <f t="shared" si="5"/>
        <v>11583569.769096516</v>
      </c>
      <c r="T37" s="5">
        <f t="shared" si="5"/>
        <v>10077279.02448245</v>
      </c>
      <c r="U37" s="5">
        <f t="shared" si="4"/>
        <v>8844307.984972829</v>
      </c>
      <c r="V37" s="5">
        <f t="shared" si="4"/>
        <v>7822783.7628528401</v>
      </c>
      <c r="W37" s="5">
        <f t="shared" si="4"/>
        <v>6967294.7595108822</v>
      </c>
      <c r="X37" s="5">
        <f t="shared" si="4"/>
        <v>6243929.2232609047</v>
      </c>
      <c r="Y37" s="5">
        <f t="shared" si="4"/>
        <v>5626966.6323811738</v>
      </c>
      <c r="Z37" s="5">
        <f t="shared" si="4"/>
        <v>5096623.9054599544</v>
      </c>
      <c r="AA37" s="5">
        <f t="shared" si="4"/>
        <v>4637490.3743199389</v>
      </c>
      <c r="AB37" s="5">
        <f t="shared" si="4"/>
        <v>4237421.9176770533</v>
      </c>
      <c r="AC37" s="5">
        <f t="shared" si="4"/>
        <v>3886747.0262083882</v>
      </c>
      <c r="AD37" s="5">
        <f t="shared" si="4"/>
        <v>3577688.465829907</v>
      </c>
      <c r="AE37" s="5">
        <f t="shared" si="4"/>
        <v>3303936.3321126015</v>
      </c>
      <c r="AF37" s="5">
        <f t="shared" si="4"/>
        <v>3060328.9683291656</v>
      </c>
    </row>
    <row r="38" spans="3:32" x14ac:dyDescent="0.3">
      <c r="C38">
        <v>2.5999999999999999E-3</v>
      </c>
      <c r="D38" s="5"/>
      <c r="E38" s="5">
        <f t="shared" si="5"/>
        <v>2229159941.0381069</v>
      </c>
      <c r="F38" s="5">
        <f t="shared" si="5"/>
        <v>673909427.34747505</v>
      </c>
      <c r="G38" s="5">
        <f t="shared" si="5"/>
        <v>342247665.77883619</v>
      </c>
      <c r="H38" s="5">
        <f t="shared" si="5"/>
        <v>198122101.10433728</v>
      </c>
      <c r="I38" s="5">
        <f t="shared" si="5"/>
        <v>125273223.28633101</v>
      </c>
      <c r="J38" s="5">
        <f t="shared" si="5"/>
        <v>84829315.031943172</v>
      </c>
      <c r="K38" s="5">
        <f t="shared" si="5"/>
        <v>60610541.14620588</v>
      </c>
      <c r="L38" s="5">
        <f t="shared" si="5"/>
        <v>45179145.702221513</v>
      </c>
      <c r="M38" s="5">
        <f t="shared" si="5"/>
        <v>34834342.274082713</v>
      </c>
      <c r="N38" s="5">
        <f t="shared" si="5"/>
        <v>27603719.900477249</v>
      </c>
      <c r="O38" s="5">
        <f t="shared" si="5"/>
        <v>22371775.716416787</v>
      </c>
      <c r="P38" s="5">
        <f t="shared" si="5"/>
        <v>18474691.527120933</v>
      </c>
      <c r="Q38" s="5">
        <f t="shared" si="5"/>
        <v>15499813.903185317</v>
      </c>
      <c r="R38" s="5">
        <f t="shared" si="5"/>
        <v>13180799.98631463</v>
      </c>
      <c r="S38" s="5">
        <f t="shared" si="5"/>
        <v>11340057.473125268</v>
      </c>
      <c r="T38" s="5">
        <f t="shared" si="5"/>
        <v>9855767.1401632894</v>
      </c>
      <c r="U38" s="5">
        <f t="shared" si="4"/>
        <v>8642264.3051242735</v>
      </c>
      <c r="V38" s="5">
        <f t="shared" si="4"/>
        <v>7637972.5235087546</v>
      </c>
      <c r="W38" s="5">
        <f t="shared" si="4"/>
        <v>6797759.5792614492</v>
      </c>
      <c r="X38" s="5">
        <f t="shared" si="4"/>
        <v>6087965.5737346523</v>
      </c>
      <c r="Y38" s="5">
        <f t="shared" si="4"/>
        <v>5483091.6617618501</v>
      </c>
      <c r="Z38" s="5">
        <f t="shared" si="4"/>
        <v>4963547.3128174292</v>
      </c>
      <c r="AA38" s="5">
        <f t="shared" si="4"/>
        <v>4514087.9157207888</v>
      </c>
      <c r="AB38" s="5">
        <f t="shared" si="4"/>
        <v>4122712.0561418468</v>
      </c>
      <c r="AC38" s="5">
        <f t="shared" si="4"/>
        <v>3779870.7171233594</v>
      </c>
      <c r="AD38" s="5">
        <f t="shared" si="4"/>
        <v>3477891.8349122228</v>
      </c>
      <c r="AE38" s="5">
        <f t="shared" si="4"/>
        <v>3210555.9156012419</v>
      </c>
      <c r="AF38" s="5">
        <f t="shared" si="4"/>
        <v>2972779.171060638</v>
      </c>
    </row>
    <row r="39" spans="3:32" x14ac:dyDescent="0.3">
      <c r="C39">
        <v>2.7000000000000001E-3</v>
      </c>
      <c r="D39" s="5"/>
      <c r="E39" s="5">
        <f t="shared" si="5"/>
        <v>2683732855.5092258</v>
      </c>
      <c r="F39" s="5">
        <f t="shared" si="5"/>
        <v>678634520.25554538</v>
      </c>
      <c r="G39" s="5">
        <f t="shared" si="5"/>
        <v>342260808.62753314</v>
      </c>
      <c r="H39" s="5">
        <f t="shared" si="5"/>
        <v>198079292.66584742</v>
      </c>
      <c r="I39" s="5">
        <f t="shared" si="5"/>
        <v>125066880.14470077</v>
      </c>
      <c r="J39" s="5">
        <f t="shared" si="5"/>
        <v>84499070.890314713</v>
      </c>
      <c r="K39" s="5">
        <f t="shared" si="5"/>
        <v>60226079.406610988</v>
      </c>
      <c r="L39" s="5">
        <f t="shared" si="5"/>
        <v>44786127.872705594</v>
      </c>
      <c r="M39" s="5">
        <f t="shared" si="5"/>
        <v>34456349.927444987</v>
      </c>
      <c r="N39" s="5">
        <f t="shared" si="5"/>
        <v>27251079.704260603</v>
      </c>
      <c r="O39" s="5">
        <f t="shared" si="5"/>
        <v>22047803.002666105</v>
      </c>
      <c r="P39" s="5">
        <f t="shared" si="5"/>
        <v>18179243.770706978</v>
      </c>
      <c r="Q39" s="5">
        <f t="shared" si="5"/>
        <v>15231173.981323645</v>
      </c>
      <c r="R39" s="5">
        <f t="shared" si="5"/>
        <v>12936640.74857015</v>
      </c>
      <c r="S39" s="5">
        <f t="shared" si="5"/>
        <v>11117921.0267743</v>
      </c>
      <c r="T39" s="5">
        <f t="shared" si="5"/>
        <v>9653291.8433020357</v>
      </c>
      <c r="U39" s="5">
        <f t="shared" si="4"/>
        <v>8457282.0004679933</v>
      </c>
      <c r="V39" s="5">
        <f t="shared" si="4"/>
        <v>7468540.1065184502</v>
      </c>
      <c r="W39" s="5">
        <f t="shared" si="4"/>
        <v>6642158.3940389259</v>
      </c>
      <c r="X39" s="5">
        <f t="shared" si="4"/>
        <v>5944686.0893350299</v>
      </c>
      <c r="Y39" s="5">
        <f t="shared" si="4"/>
        <v>5350812.4342847187</v>
      </c>
      <c r="Z39" s="5">
        <f t="shared" si="4"/>
        <v>4841112.7728881529</v>
      </c>
      <c r="AA39" s="5">
        <f t="shared" si="4"/>
        <v>4400487.1595152691</v>
      </c>
      <c r="AB39" s="5">
        <f t="shared" si="4"/>
        <v>4017059.5773424632</v>
      </c>
      <c r="AC39" s="5">
        <f t="shared" si="4"/>
        <v>3681389.3765558666</v>
      </c>
      <c r="AD39" s="5">
        <f t="shared" si="4"/>
        <v>3385898.0458565075</v>
      </c>
      <c r="AE39" s="5">
        <f t="shared" si="4"/>
        <v>3124446.8759099194</v>
      </c>
      <c r="AF39" s="5">
        <f t="shared" si="4"/>
        <v>2892021.9169365931</v>
      </c>
    </row>
    <row r="40" spans="3:32" x14ac:dyDescent="0.3">
      <c r="C40">
        <v>2.8E-3</v>
      </c>
      <c r="D40" s="5"/>
      <c r="E40" s="5">
        <f t="shared" si="5"/>
        <v>3635519004.6372018</v>
      </c>
      <c r="F40" s="5">
        <f t="shared" si="5"/>
        <v>686012685.74092829</v>
      </c>
      <c r="G40" s="5">
        <f t="shared" si="5"/>
        <v>342317772.63814604</v>
      </c>
      <c r="H40" s="5">
        <f t="shared" si="5"/>
        <v>198063397.09998035</v>
      </c>
      <c r="I40" s="5">
        <f t="shared" si="5"/>
        <v>124925387.04230401</v>
      </c>
      <c r="J40" s="5">
        <f t="shared" si="5"/>
        <v>84238678.418434396</v>
      </c>
      <c r="K40" s="5">
        <f t="shared" si="5"/>
        <v>59904417.20078589</v>
      </c>
      <c r="L40" s="5">
        <f t="shared" si="5"/>
        <v>44446755.778567739</v>
      </c>
      <c r="M40" s="5">
        <f t="shared" si="5"/>
        <v>34123686.747355975</v>
      </c>
      <c r="N40" s="5">
        <f t="shared" si="5"/>
        <v>26936860.384892773</v>
      </c>
      <c r="O40" s="5">
        <f t="shared" si="5"/>
        <v>21756653.769739002</v>
      </c>
      <c r="P40" s="5">
        <f t="shared" si="5"/>
        <v>17912095.936212704</v>
      </c>
      <c r="Q40" s="5">
        <f t="shared" si="5"/>
        <v>14987156.528991515</v>
      </c>
      <c r="R40" s="5">
        <f t="shared" si="5"/>
        <v>12714087.16183858</v>
      </c>
      <c r="S40" s="5">
        <f t="shared" si="5"/>
        <v>10914890.658406544</v>
      </c>
      <c r="T40" s="5">
        <f t="shared" si="5"/>
        <v>9467831.1583027244</v>
      </c>
      <c r="U40" s="5">
        <f t="shared" si="4"/>
        <v>8287547.9440964134</v>
      </c>
      <c r="V40" s="5">
        <f t="shared" si="4"/>
        <v>7312851.1847796654</v>
      </c>
      <c r="W40" s="5">
        <f t="shared" si="4"/>
        <v>6499008.5744551234</v>
      </c>
      <c r="X40" s="5">
        <f t="shared" si="4"/>
        <v>5812740.298325439</v>
      </c>
      <c r="Y40" s="5">
        <f t="shared" si="4"/>
        <v>5228893.6514154309</v>
      </c>
      <c r="Z40" s="5">
        <f t="shared" si="4"/>
        <v>4728185.9851428559</v>
      </c>
      <c r="AA40" s="5">
        <f t="shared" si="4"/>
        <v>4295642.8741207961</v>
      </c>
      <c r="AB40" s="5">
        <f t="shared" si="4"/>
        <v>3919498.2044969522</v>
      </c>
      <c r="AC40" s="5">
        <f t="shared" si="4"/>
        <v>3590407.048729395</v>
      </c>
      <c r="AD40" s="5">
        <f t="shared" si="4"/>
        <v>3300874.0478657549</v>
      </c>
      <c r="AE40" s="5">
        <f t="shared" si="4"/>
        <v>3044832.6607332439</v>
      </c>
      <c r="AF40" s="5">
        <f t="shared" si="4"/>
        <v>2817331.5885119489</v>
      </c>
    </row>
    <row r="41" spans="3:32" x14ac:dyDescent="0.3">
      <c r="C41">
        <v>2.8999999999999998E-3</v>
      </c>
      <c r="D41" s="5"/>
      <c r="E41" s="5">
        <f t="shared" si="5"/>
        <v>6570078738.497427</v>
      </c>
      <c r="F41" s="5">
        <f t="shared" si="5"/>
        <v>697033490.55816114</v>
      </c>
      <c r="G41" s="5">
        <f t="shared" si="5"/>
        <v>342471231.57113421</v>
      </c>
      <c r="H41" s="5">
        <f t="shared" si="5"/>
        <v>198059729.25476512</v>
      </c>
      <c r="I41" s="5">
        <f t="shared" si="5"/>
        <v>124833317.48806891</v>
      </c>
      <c r="J41" s="5">
        <f t="shared" si="5"/>
        <v>84036964.340003669</v>
      </c>
      <c r="K41" s="5">
        <f t="shared" si="5"/>
        <v>59637414.182176843</v>
      </c>
      <c r="L41" s="5">
        <f t="shared" si="5"/>
        <v>44154812.229040019</v>
      </c>
      <c r="M41" s="5">
        <f t="shared" si="5"/>
        <v>33831402.076829039</v>
      </c>
      <c r="N41" s="5">
        <f t="shared" si="5"/>
        <v>26656995.394854344</v>
      </c>
      <c r="O41" s="5">
        <f t="shared" si="5"/>
        <v>21494910.782171939</v>
      </c>
      <c r="P41" s="5">
        <f t="shared" si="5"/>
        <v>17670326.800605759</v>
      </c>
      <c r="Q41" s="5">
        <f t="shared" si="5"/>
        <v>14765230.691292915</v>
      </c>
      <c r="R41" s="5">
        <f t="shared" si="5"/>
        <v>12510922.699999342</v>
      </c>
      <c r="S41" s="5">
        <f t="shared" si="5"/>
        <v>10729007.539736589</v>
      </c>
      <c r="T41" s="5">
        <f t="shared" si="5"/>
        <v>9297640.630264882</v>
      </c>
      <c r="U41" s="5">
        <f t="shared" si="4"/>
        <v>8131498.1904351925</v>
      </c>
      <c r="V41" s="5">
        <f t="shared" si="4"/>
        <v>7169495.3842406413</v>
      </c>
      <c r="W41" s="5">
        <f t="shared" si="4"/>
        <v>6367031.5738085704</v>
      </c>
      <c r="X41" s="5">
        <f t="shared" si="4"/>
        <v>5690963.7093425151</v>
      </c>
      <c r="Y41" s="5">
        <f t="shared" si="4"/>
        <v>5116270.1939658141</v>
      </c>
      <c r="Z41" s="5">
        <f t="shared" si="4"/>
        <v>4623788.9557138933</v>
      </c>
      <c r="AA41" s="5">
        <f t="shared" si="4"/>
        <v>4198653.8895784747</v>
      </c>
      <c r="AB41" s="5">
        <f t="shared" si="4"/>
        <v>3829194.8605482676</v>
      </c>
      <c r="AC41" s="5">
        <f t="shared" si="4"/>
        <v>3506151.2984346012</v>
      </c>
      <c r="AD41" s="5">
        <f t="shared" si="4"/>
        <v>3222101.6488293372</v>
      </c>
      <c r="AE41" s="5">
        <f t="shared" si="4"/>
        <v>2971043.7942822212</v>
      </c>
      <c r="AF41" s="5">
        <f t="shared" si="4"/>
        <v>2748082.6272866242</v>
      </c>
    </row>
    <row r="42" spans="3:32" x14ac:dyDescent="0.3">
      <c r="C42">
        <v>3.0000000000000001E-3</v>
      </c>
      <c r="D42" s="5"/>
      <c r="E42" s="5"/>
      <c r="F42" s="5">
        <f t="shared" si="5"/>
        <v>713014145.05169117</v>
      </c>
      <c r="G42" s="5">
        <f t="shared" si="5"/>
        <v>342795262.04408234</v>
      </c>
      <c r="H42" s="5">
        <f t="shared" si="5"/>
        <v>198059484.73658085</v>
      </c>
      <c r="I42" s="5">
        <f t="shared" si="5"/>
        <v>124777475.38404591</v>
      </c>
      <c r="J42" s="5">
        <f t="shared" si="5"/>
        <v>83884017.064904854</v>
      </c>
      <c r="K42" s="5">
        <f t="shared" si="5"/>
        <v>59417845.420974277</v>
      </c>
      <c r="L42" s="5">
        <f t="shared" si="5"/>
        <v>43904811.88741941</v>
      </c>
      <c r="M42" s="5">
        <f t="shared" si="5"/>
        <v>33575152.378290258</v>
      </c>
      <c r="N42" s="5">
        <f t="shared" si="5"/>
        <v>26407931.298210777</v>
      </c>
      <c r="O42" s="5">
        <f t="shared" si="5"/>
        <v>21259596.068055011</v>
      </c>
      <c r="P42" s="5">
        <f t="shared" si="5"/>
        <v>17451395.158607818</v>
      </c>
      <c r="Q42" s="5">
        <f t="shared" si="5"/>
        <v>14563197.407101534</v>
      </c>
      <c r="R42" s="5">
        <f t="shared" si="5"/>
        <v>12325222.904955769</v>
      </c>
      <c r="S42" s="5">
        <f t="shared" si="5"/>
        <v>10558571.834389152</v>
      </c>
      <c r="T42" s="5">
        <f t="shared" si="5"/>
        <v>9141206.9878421947</v>
      </c>
      <c r="U42" s="5">
        <f t="shared" si="4"/>
        <v>7987776.3891404076</v>
      </c>
      <c r="V42" s="5">
        <f t="shared" si="4"/>
        <v>7037249.7537671858</v>
      </c>
      <c r="W42" s="5">
        <f t="shared" si="4"/>
        <v>6245118.8880903888</v>
      </c>
      <c r="X42" s="5">
        <f t="shared" si="4"/>
        <v>5578346.7962792348</v>
      </c>
      <c r="Y42" s="5">
        <f t="shared" si="4"/>
        <v>5012018.7457790049</v>
      </c>
      <c r="Z42" s="5">
        <f t="shared" si="4"/>
        <v>4527073.9368361346</v>
      </c>
      <c r="AA42" s="5">
        <f t="shared" si="4"/>
        <v>4108739.0803734725</v>
      </c>
      <c r="AB42" s="5">
        <f t="shared" si="4"/>
        <v>3745427.4630968091</v>
      </c>
      <c r="AC42" s="5">
        <f t="shared" si="4"/>
        <v>3427952.620440823</v>
      </c>
      <c r="AD42" s="5">
        <f t="shared" si="4"/>
        <v>3148958.3693134603</v>
      </c>
      <c r="AE42" s="5">
        <f t="shared" si="4"/>
        <v>2902500.0289863893</v>
      </c>
      <c r="AF42" s="5">
        <f t="shared" si="4"/>
        <v>2683732.8555092267</v>
      </c>
    </row>
  </sheetData>
  <mergeCells count="2">
    <mergeCell ref="B13:B32"/>
    <mergeCell ref="D11:M11"/>
  </mergeCells>
  <conditionalFormatting sqref="D13:AF42">
    <cfRule type="colorScale" priority="2">
      <colorScale>
        <cfvo type="min"/>
        <cfvo type="num" val="$G$10"/>
        <color theme="9" tint="0.59999389629810485"/>
        <color theme="5" tint="0.59999389629810485"/>
      </colorScale>
    </cfRule>
    <cfRule type="cellIs" dxfId="1" priority="1" operator="greaterThan">
      <formula>$G$10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Dimensions</vt:lpstr>
      <vt:lpstr>Motor</vt:lpstr>
      <vt:lpstr>Sheet1</vt:lpstr>
      <vt:lpstr>Lb</vt:lpstr>
      <vt:lpstr>Lf</vt:lpstr>
      <vt:lpstr>Rd</vt:lpstr>
      <vt:lpstr>Re</vt:lpstr>
      <vt:lpstr>Rmax</vt:lpstr>
      <vt:lpstr>Rs</vt:lpstr>
      <vt:lpstr>Zmin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Rowlings</dc:creator>
  <cp:lastModifiedBy>Louis Rowlings</cp:lastModifiedBy>
  <dcterms:created xsi:type="dcterms:W3CDTF">2015-06-05T18:17:20Z</dcterms:created>
  <dcterms:modified xsi:type="dcterms:W3CDTF">2026-04-27T17:25:05Z</dcterms:modified>
</cp:coreProperties>
</file>