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a2a7c1b97a5dd47/Desktop/R_Trident/02_CAD/00_Skeleton/"/>
    </mc:Choice>
  </mc:AlternateContent>
  <xr:revisionPtr revIDLastSave="165" documentId="11_F25DC773A252ABDACC1048FDB19D70D45BDE58ED" xr6:coauthVersionLast="47" xr6:coauthVersionMax="47" xr10:uidLastSave="{BAEB1AB4-FC75-4524-A8AC-B608E47F99F2}"/>
  <bookViews>
    <workbookView xWindow="-105" yWindow="0" windowWidth="12750" windowHeight="21705" xr2:uid="{00000000-000D-0000-FFFF-FFFF00000000}"/>
  </bookViews>
  <sheets>
    <sheet name="Dimensions" sheetId="1" r:id="rId1"/>
    <sheet name="Motor" sheetId="2" r:id="rId2"/>
  </sheets>
  <definedNames>
    <definedName name="Lb">Dimensions!$D$2</definedName>
    <definedName name="Lf">Dimensions!$D$3</definedName>
    <definedName name="Rd">Dimensions!$D$6</definedName>
    <definedName name="Re">Dimensions!$D$5</definedName>
    <definedName name="Rmax">Dimensions!$D$7</definedName>
    <definedName name="Rs">Dimensions!$D$4</definedName>
    <definedName name="Zmin">Dimensions!$D$8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D8" i="1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D6" i="1"/>
</calcChain>
</file>

<file path=xl/sharedStrings.xml><?xml version="1.0" encoding="utf-8"?>
<sst xmlns="http://schemas.openxmlformats.org/spreadsheetml/2006/main" count="56" uniqueCount="41">
  <si>
    <t>Category</t>
  </si>
  <si>
    <t>Parameter</t>
  </si>
  <si>
    <t>Symbol</t>
  </si>
  <si>
    <t>Value</t>
  </si>
  <si>
    <t>Unit</t>
  </si>
  <si>
    <t>Note</t>
  </si>
  <si>
    <t>Input</t>
  </si>
  <si>
    <t>Calculation</t>
  </si>
  <si>
    <t>Bicep Length</t>
  </si>
  <si>
    <t>Forearm Length</t>
  </si>
  <si>
    <t>Effector Radius</t>
  </si>
  <si>
    <t>Delta Radius</t>
  </si>
  <si>
    <t>Max Reach</t>
  </si>
  <si>
    <t>Min Z</t>
  </si>
  <si>
    <t>Lb</t>
  </si>
  <si>
    <t>Lf</t>
  </si>
  <si>
    <t>Re</t>
  </si>
  <si>
    <t>Rd</t>
  </si>
  <si>
    <t>Rs</t>
  </si>
  <si>
    <t>Rmax</t>
  </si>
  <si>
    <t>Zmin</t>
  </si>
  <si>
    <t>Effector Mass</t>
  </si>
  <si>
    <t>Angle</t>
  </si>
  <si>
    <t>[deg]</t>
  </si>
  <si>
    <t>Torque</t>
  </si>
  <si>
    <t>[Nm]</t>
  </si>
  <si>
    <t>[kg]</t>
  </si>
  <si>
    <t>mm</t>
  </si>
  <si>
    <t>Center of motor to center of joint</t>
  </si>
  <si>
    <t>Center of joint to center of joint</t>
  </si>
  <si>
    <t>Printer center to Motor center</t>
  </si>
  <si>
    <t>Effector center to Joint center</t>
  </si>
  <si>
    <t>The horizontal offset</t>
  </si>
  <si>
    <t>Maximum build plate radius</t>
  </si>
  <si>
    <t>Deepest reach</t>
  </si>
  <si>
    <t>Shoulder Radius</t>
  </si>
  <si>
    <t>Effector</t>
  </si>
  <si>
    <t>Motor</t>
  </si>
  <si>
    <t>Hmax</t>
  </si>
  <si>
    <t>Frame Height</t>
  </si>
  <si>
    <t xml:space="preserve">Maximum frame height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</si>
</sst>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Motor!$E$16</c:f>
              <c:strCache>
                <c:ptCount val="1"/>
                <c:pt idx="0">
                  <c:v>Torque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Motor!$D$18:$D$54</c:f>
              <c:numCache>
                <c:formatCode>General</c:formatCode>
                <c:ptCount val="3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</c:numCache>
            </c:numRef>
          </c:cat>
          <c:val>
            <c:numRef>
              <c:f>Motor!$E$18:$E$54</c:f>
              <c:numCache>
                <c:formatCode>General</c:formatCode>
                <c:ptCount val="37"/>
                <c:pt idx="0">
                  <c:v>0.44145000000000001</c:v>
                </c:pt>
                <c:pt idx="1">
                  <c:v>0.43977014947260107</c:v>
                </c:pt>
                <c:pt idx="2">
                  <c:v>0.43474338256723927</c:v>
                </c:pt>
                <c:pt idx="3">
                  <c:v>0.42640795601530918</c:v>
                </c:pt>
                <c:pt idx="4">
                  <c:v>0.41482730744593926</c:v>
                </c:pt>
                <c:pt idx="5">
                  <c:v>0.40008957258732913</c:v>
                </c:pt>
                <c:pt idx="6">
                  <c:v>0.38230691450064047</c:v>
                </c:pt>
                <c:pt idx="7">
                  <c:v>0.36161466995137542</c:v>
                </c:pt>
                <c:pt idx="8">
                  <c:v>0.3381703194148728</c:v>
                </c:pt>
                <c:pt idx="9">
                  <c:v>0.31215228855480143</c:v>
                </c:pt>
                <c:pt idx="10">
                  <c:v>0.28375859029612283</c:v>
                </c:pt>
                <c:pt idx="11">
                  <c:v>0.25320531782716932</c:v>
                </c:pt>
                <c:pt idx="12">
                  <c:v>0.22072500000000003</c:v>
                </c:pt>
                <c:pt idx="13">
                  <c:v>0.18656483164543175</c:v>
                </c:pt>
                <c:pt idx="14">
                  <c:v>0.15098479227111652</c:v>
                </c:pt>
                <c:pt idx="15">
                  <c:v>0.11425566746050779</c:v>
                </c:pt>
                <c:pt idx="16">
                  <c:v>7.6656988031066436E-2</c:v>
                </c:pt>
                <c:pt idx="17">
                  <c:v>3.8474902635953684E-2</c:v>
                </c:pt>
                <c:pt idx="18">
                  <c:v>2.7042089270970519E-17</c:v>
                </c:pt>
                <c:pt idx="19">
                  <c:v>3.8474902635953732E-2</c:v>
                </c:pt>
                <c:pt idx="20">
                  <c:v>7.6656988031066381E-2</c:v>
                </c:pt>
                <c:pt idx="21">
                  <c:v>0.11425566746050783</c:v>
                </c:pt>
                <c:pt idx="22">
                  <c:v>0.15098479227111647</c:v>
                </c:pt>
                <c:pt idx="23">
                  <c:v>0.18656483164543172</c:v>
                </c:pt>
                <c:pt idx="24">
                  <c:v>0.22072499999999989</c:v>
                </c:pt>
                <c:pt idx="25">
                  <c:v>0.25320531782716932</c:v>
                </c:pt>
                <c:pt idx="26">
                  <c:v>0.28375859029612283</c:v>
                </c:pt>
                <c:pt idx="27">
                  <c:v>0.31215228855480143</c:v>
                </c:pt>
                <c:pt idx="28">
                  <c:v>0.3381703194148728</c:v>
                </c:pt>
                <c:pt idx="29">
                  <c:v>0.36161466995137548</c:v>
                </c:pt>
                <c:pt idx="30">
                  <c:v>0.38230691450064047</c:v>
                </c:pt>
                <c:pt idx="31">
                  <c:v>0.40008957258732913</c:v>
                </c:pt>
                <c:pt idx="32">
                  <c:v>0.41482730744593926</c:v>
                </c:pt>
                <c:pt idx="33">
                  <c:v>0.42640795601530918</c:v>
                </c:pt>
                <c:pt idx="34">
                  <c:v>0.43474338256723927</c:v>
                </c:pt>
                <c:pt idx="35">
                  <c:v>0.43977014947260107</c:v>
                </c:pt>
                <c:pt idx="36">
                  <c:v>0.44145000000000001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4C-49DE-B45C-67FE82918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731559744"/>
        <c:axId val="644854832"/>
      </c:lineChart>
      <c:catAx>
        <c:axId val="73155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44854832"/>
        <c:crosses val="autoZero"/>
        <c:auto val="1"/>
        <c:lblAlgn val="ctr"/>
        <c:lblOffset val="100"/>
        <c:noMultiLvlLbl val="0"/>
      </c:catAx>
      <c:valAx>
        <c:axId val="644854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731559744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428625</xdr:colOff>
      <xdr:row>21</xdr:row>
      <xdr:rowOff>23812</xdr:rowOff>
    </xdr:from>
    <xdr:to>
      <xdr:col>22</xdr:col>
      <xdr:colOff>123825</xdr:colOff>
      <xdr:row>35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0933D5-A6DD-B7B9-3ABD-0749D997F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6CAA55-9C60-4950-911D-F1B35662CE5D}" name="Table1" displayName="Table1" ref="A1:F1048576" totalsRowShown="0">
  <autoFilter ref="A1:F1048576" xr:uid="{586CAA55-9C60-4950-911D-F1B35662CE5D}"/>
  <tableColumns count="6">
    <tableColumn id="1" xr3:uid="{4A3BEFD1-6C59-45A2-89C2-17BFC62CD0A4}" name="Category"/>
    <tableColumn id="2" xr3:uid="{27951BC6-E289-44F2-9AC3-4EFD77929C18}" name="Parameter" dataDxfId="4"/>
    <tableColumn id="3" xr3:uid="{C89466AB-4484-4EE7-AB15-6442AB3E9882}" name="Symbol" dataDxfId="3"/>
    <tableColumn id="4" xr3:uid="{5242EAE4-9214-4D8C-8224-C7AAA10DF923}" name="Value"/>
    <tableColumn id="5" xr3:uid="{1BBA985D-5852-433D-A439-E3EBE0098B3D}" name="Unit" dataDxfId="2"/>
    <tableColumn id="6" xr3:uid="{EB5AE05E-3C14-430D-AEC5-583EA77A48A5}" name="Note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D12" sqref="D12"/>
    </sheetView>
  </sheetViews>
  <sheetFormatPr defaultRowHeight="15" x14ac:dyDescent="0.25"/>
  <cols>
    <col min="1" max="1" width="17.5703125" customWidth="1"/>
    <col min="2" max="2" width="15.42578125" style="2" bestFit="1" customWidth="1"/>
    <col min="3" max="3" width="12.7109375" style="1" customWidth="1"/>
    <col min="4" max="4" width="9.5703125" customWidth="1"/>
    <col min="5" max="5" width="13.42578125" style="1" customWidth="1"/>
    <col min="6" max="6" width="38.28515625" customWidth="1"/>
  </cols>
  <sheetData>
    <row r="1" spans="1:6" x14ac:dyDescent="0.25">
      <c r="A1" t="s">
        <v>0</v>
      </c>
      <c r="B1" s="2" t="s">
        <v>1</v>
      </c>
      <c r="C1" s="1" t="s">
        <v>2</v>
      </c>
      <c r="D1" t="s">
        <v>3</v>
      </c>
      <c r="E1" s="1" t="s">
        <v>4</v>
      </c>
      <c r="F1" t="s">
        <v>5</v>
      </c>
    </row>
    <row r="2" spans="1:6" x14ac:dyDescent="0.25">
      <c r="A2" t="s">
        <v>6</v>
      </c>
      <c r="B2" s="2" t="s">
        <v>8</v>
      </c>
      <c r="C2" s="1" t="s">
        <v>14</v>
      </c>
      <c r="D2">
        <v>90</v>
      </c>
      <c r="E2" s="1" t="s">
        <v>27</v>
      </c>
      <c r="F2" t="s">
        <v>28</v>
      </c>
    </row>
    <row r="3" spans="1:6" x14ac:dyDescent="0.25">
      <c r="A3" t="s">
        <v>6</v>
      </c>
      <c r="B3" s="2" t="s">
        <v>9</v>
      </c>
      <c r="C3" s="1" t="s">
        <v>15</v>
      </c>
      <c r="D3">
        <v>250</v>
      </c>
      <c r="E3" s="1" t="s">
        <v>27</v>
      </c>
      <c r="F3" t="s">
        <v>29</v>
      </c>
    </row>
    <row r="4" spans="1:6" x14ac:dyDescent="0.25">
      <c r="A4" t="s">
        <v>6</v>
      </c>
      <c r="B4" s="2" t="s">
        <v>35</v>
      </c>
      <c r="C4" s="1" t="s">
        <v>18</v>
      </c>
      <c r="D4">
        <v>100</v>
      </c>
      <c r="E4" s="1" t="s">
        <v>27</v>
      </c>
      <c r="F4" t="s">
        <v>30</v>
      </c>
    </row>
    <row r="5" spans="1:6" x14ac:dyDescent="0.25">
      <c r="A5" t="s">
        <v>6</v>
      </c>
      <c r="B5" s="2" t="s">
        <v>10</v>
      </c>
      <c r="C5" s="1" t="s">
        <v>16</v>
      </c>
      <c r="D5">
        <v>30</v>
      </c>
      <c r="E5" s="1" t="s">
        <v>27</v>
      </c>
      <c r="F5" t="s">
        <v>31</v>
      </c>
    </row>
    <row r="6" spans="1:6" x14ac:dyDescent="0.25">
      <c r="A6" t="s">
        <v>7</v>
      </c>
      <c r="B6" s="2" t="s">
        <v>11</v>
      </c>
      <c r="C6" s="1" t="s">
        <v>17</v>
      </c>
      <c r="D6">
        <f>D4-D5</f>
        <v>70</v>
      </c>
      <c r="E6" s="1" t="s">
        <v>27</v>
      </c>
      <c r="F6" t="s">
        <v>32</v>
      </c>
    </row>
    <row r="7" spans="1:6" x14ac:dyDescent="0.25">
      <c r="A7" t="s">
        <v>7</v>
      </c>
      <c r="B7" s="2" t="s">
        <v>12</v>
      </c>
      <c r="C7" s="1" t="s">
        <v>19</v>
      </c>
      <c r="D7">
        <f>(D3+D4-D6)/2</f>
        <v>140</v>
      </c>
      <c r="E7" s="1" t="s">
        <v>27</v>
      </c>
      <c r="F7" t="s">
        <v>33</v>
      </c>
    </row>
    <row r="8" spans="1:6" x14ac:dyDescent="0.25">
      <c r="A8" t="s">
        <v>7</v>
      </c>
      <c r="B8" s="2" t="s">
        <v>13</v>
      </c>
      <c r="C8" s="1" t="s">
        <v>20</v>
      </c>
      <c r="D8">
        <f>ABS(-D3-D2)</f>
        <v>340</v>
      </c>
      <c r="E8" s="1" t="s">
        <v>27</v>
      </c>
      <c r="F8" t="s">
        <v>34</v>
      </c>
    </row>
    <row r="9" spans="1:6" x14ac:dyDescent="0.25">
      <c r="A9" t="s">
        <v>6</v>
      </c>
      <c r="B9" t="s">
        <v>39</v>
      </c>
      <c r="C9" s="1" t="s">
        <v>38</v>
      </c>
      <c r="D9">
        <v>500</v>
      </c>
      <c r="E9" s="1" t="s">
        <v>27</v>
      </c>
      <c r="F9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D48D6-411E-4162-BD59-726D769B6588}">
  <dimension ref="D4:Q54"/>
  <sheetViews>
    <sheetView topLeftCell="A16" workbookViewId="0">
      <selection activeCell="C19" sqref="C19"/>
    </sheetView>
  </sheetViews>
  <sheetFormatPr defaultRowHeight="15" x14ac:dyDescent="0.25"/>
  <sheetData>
    <row r="4" spans="4:17" x14ac:dyDescent="0.25">
      <c r="E4" s="3" t="s">
        <v>36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4:17" x14ac:dyDescent="0.25">
      <c r="E5" t="s">
        <v>21</v>
      </c>
    </row>
    <row r="6" spans="4:17" x14ac:dyDescent="0.25">
      <c r="E6" t="s">
        <v>26</v>
      </c>
    </row>
    <row r="7" spans="4:17" x14ac:dyDescent="0.25">
      <c r="E7">
        <v>0.5</v>
      </c>
    </row>
    <row r="10" spans="4:17" x14ac:dyDescent="0.25">
      <c r="E10" s="3" t="s">
        <v>37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4:17" x14ac:dyDescent="0.25">
      <c r="E11" t="s">
        <v>24</v>
      </c>
    </row>
    <row r="12" spans="4:17" x14ac:dyDescent="0.25">
      <c r="E12" t="s">
        <v>25</v>
      </c>
    </row>
    <row r="13" spans="4:17" x14ac:dyDescent="0.25">
      <c r="E13">
        <v>1</v>
      </c>
    </row>
    <row r="16" spans="4:17" x14ac:dyDescent="0.25">
      <c r="D16" t="s">
        <v>22</v>
      </c>
      <c r="E16" t="s">
        <v>24</v>
      </c>
    </row>
    <row r="17" spans="4:5" x14ac:dyDescent="0.25">
      <c r="D17" t="s">
        <v>23</v>
      </c>
      <c r="E17" t="s">
        <v>25</v>
      </c>
    </row>
    <row r="18" spans="4:5" x14ac:dyDescent="0.25">
      <c r="D18">
        <v>0</v>
      </c>
      <c r="E18">
        <f t="shared" ref="E18:E54" si="0">ABS(($E$7*9.81)*(Lb*(1/1000)*COS(RADIANS(D18))))</f>
        <v>0.44145000000000001</v>
      </c>
    </row>
    <row r="19" spans="4:5" x14ac:dyDescent="0.25">
      <c r="D19">
        <v>5</v>
      </c>
      <c r="E19">
        <f t="shared" si="0"/>
        <v>0.43977014947260107</v>
      </c>
    </row>
    <row r="20" spans="4:5" x14ac:dyDescent="0.25">
      <c r="D20">
        <v>10</v>
      </c>
      <c r="E20">
        <f t="shared" si="0"/>
        <v>0.43474338256723927</v>
      </c>
    </row>
    <row r="21" spans="4:5" x14ac:dyDescent="0.25">
      <c r="D21">
        <v>15</v>
      </c>
      <c r="E21">
        <f t="shared" si="0"/>
        <v>0.42640795601530918</v>
      </c>
    </row>
    <row r="22" spans="4:5" x14ac:dyDescent="0.25">
      <c r="D22">
        <v>20</v>
      </c>
      <c r="E22">
        <f t="shared" si="0"/>
        <v>0.41482730744593926</v>
      </c>
    </row>
    <row r="23" spans="4:5" x14ac:dyDescent="0.25">
      <c r="D23">
        <v>25</v>
      </c>
      <c r="E23">
        <f t="shared" si="0"/>
        <v>0.40008957258732913</v>
      </c>
    </row>
    <row r="24" spans="4:5" x14ac:dyDescent="0.25">
      <c r="D24">
        <v>30</v>
      </c>
      <c r="E24">
        <f t="shared" si="0"/>
        <v>0.38230691450064047</v>
      </c>
    </row>
    <row r="25" spans="4:5" x14ac:dyDescent="0.25">
      <c r="D25">
        <v>35</v>
      </c>
      <c r="E25">
        <f t="shared" si="0"/>
        <v>0.36161466995137542</v>
      </c>
    </row>
    <row r="26" spans="4:5" x14ac:dyDescent="0.25">
      <c r="D26">
        <v>40</v>
      </c>
      <c r="E26">
        <f t="shared" si="0"/>
        <v>0.3381703194148728</v>
      </c>
    </row>
    <row r="27" spans="4:5" x14ac:dyDescent="0.25">
      <c r="D27">
        <v>45</v>
      </c>
      <c r="E27">
        <f t="shared" si="0"/>
        <v>0.31215228855480143</v>
      </c>
    </row>
    <row r="28" spans="4:5" x14ac:dyDescent="0.25">
      <c r="D28">
        <v>50</v>
      </c>
      <c r="E28">
        <f t="shared" si="0"/>
        <v>0.28375859029612283</v>
      </c>
    </row>
    <row r="29" spans="4:5" x14ac:dyDescent="0.25">
      <c r="D29">
        <v>55</v>
      </c>
      <c r="E29">
        <f t="shared" si="0"/>
        <v>0.25320531782716932</v>
      </c>
    </row>
    <row r="30" spans="4:5" x14ac:dyDescent="0.25">
      <c r="D30">
        <v>60</v>
      </c>
      <c r="E30">
        <f t="shared" si="0"/>
        <v>0.22072500000000003</v>
      </c>
    </row>
    <row r="31" spans="4:5" x14ac:dyDescent="0.25">
      <c r="D31">
        <v>65</v>
      </c>
      <c r="E31">
        <f t="shared" si="0"/>
        <v>0.18656483164543175</v>
      </c>
    </row>
    <row r="32" spans="4:5" x14ac:dyDescent="0.25">
      <c r="D32">
        <v>70</v>
      </c>
      <c r="E32">
        <f t="shared" si="0"/>
        <v>0.15098479227111652</v>
      </c>
    </row>
    <row r="33" spans="4:5" x14ac:dyDescent="0.25">
      <c r="D33">
        <v>75</v>
      </c>
      <c r="E33">
        <f t="shared" si="0"/>
        <v>0.11425566746050779</v>
      </c>
    </row>
    <row r="34" spans="4:5" x14ac:dyDescent="0.25">
      <c r="D34">
        <v>80</v>
      </c>
      <c r="E34">
        <f t="shared" si="0"/>
        <v>7.6656988031066436E-2</v>
      </c>
    </row>
    <row r="35" spans="4:5" x14ac:dyDescent="0.25">
      <c r="D35">
        <v>85</v>
      </c>
      <c r="E35">
        <f t="shared" si="0"/>
        <v>3.8474902635953684E-2</v>
      </c>
    </row>
    <row r="36" spans="4:5" x14ac:dyDescent="0.25">
      <c r="D36">
        <v>90</v>
      </c>
      <c r="E36">
        <f t="shared" si="0"/>
        <v>2.7042089270970519E-17</v>
      </c>
    </row>
    <row r="37" spans="4:5" x14ac:dyDescent="0.25">
      <c r="D37">
        <v>95</v>
      </c>
      <c r="E37">
        <f t="shared" si="0"/>
        <v>3.8474902635953732E-2</v>
      </c>
    </row>
    <row r="38" spans="4:5" x14ac:dyDescent="0.25">
      <c r="D38">
        <v>100</v>
      </c>
      <c r="E38">
        <f t="shared" si="0"/>
        <v>7.6656988031066381E-2</v>
      </c>
    </row>
    <row r="39" spans="4:5" x14ac:dyDescent="0.25">
      <c r="D39">
        <v>105</v>
      </c>
      <c r="E39">
        <f t="shared" si="0"/>
        <v>0.11425566746050783</v>
      </c>
    </row>
    <row r="40" spans="4:5" x14ac:dyDescent="0.25">
      <c r="D40">
        <v>110</v>
      </c>
      <c r="E40">
        <f t="shared" si="0"/>
        <v>0.15098479227111647</v>
      </c>
    </row>
    <row r="41" spans="4:5" x14ac:dyDescent="0.25">
      <c r="D41">
        <v>115</v>
      </c>
      <c r="E41">
        <f t="shared" si="0"/>
        <v>0.18656483164543172</v>
      </c>
    </row>
    <row r="42" spans="4:5" x14ac:dyDescent="0.25">
      <c r="D42">
        <v>120</v>
      </c>
      <c r="E42">
        <f t="shared" si="0"/>
        <v>0.22072499999999989</v>
      </c>
    </row>
    <row r="43" spans="4:5" x14ac:dyDescent="0.25">
      <c r="D43">
        <v>125</v>
      </c>
      <c r="E43">
        <f t="shared" si="0"/>
        <v>0.25320531782716932</v>
      </c>
    </row>
    <row r="44" spans="4:5" x14ac:dyDescent="0.25">
      <c r="D44">
        <v>130</v>
      </c>
      <c r="E44">
        <f t="shared" si="0"/>
        <v>0.28375859029612283</v>
      </c>
    </row>
    <row r="45" spans="4:5" x14ac:dyDescent="0.25">
      <c r="D45">
        <v>135</v>
      </c>
      <c r="E45">
        <f t="shared" si="0"/>
        <v>0.31215228855480143</v>
      </c>
    </row>
    <row r="46" spans="4:5" x14ac:dyDescent="0.25">
      <c r="D46">
        <v>140</v>
      </c>
      <c r="E46">
        <f t="shared" si="0"/>
        <v>0.3381703194148728</v>
      </c>
    </row>
    <row r="47" spans="4:5" x14ac:dyDescent="0.25">
      <c r="D47">
        <v>145</v>
      </c>
      <c r="E47">
        <f t="shared" si="0"/>
        <v>0.36161466995137548</v>
      </c>
    </row>
    <row r="48" spans="4:5" x14ac:dyDescent="0.25">
      <c r="D48">
        <v>150</v>
      </c>
      <c r="E48">
        <f t="shared" si="0"/>
        <v>0.38230691450064047</v>
      </c>
    </row>
    <row r="49" spans="4:5" x14ac:dyDescent="0.25">
      <c r="D49">
        <v>155</v>
      </c>
      <c r="E49">
        <f t="shared" si="0"/>
        <v>0.40008957258732913</v>
      </c>
    </row>
    <row r="50" spans="4:5" x14ac:dyDescent="0.25">
      <c r="D50">
        <v>160</v>
      </c>
      <c r="E50">
        <f t="shared" si="0"/>
        <v>0.41482730744593926</v>
      </c>
    </row>
    <row r="51" spans="4:5" x14ac:dyDescent="0.25">
      <c r="D51">
        <v>165</v>
      </c>
      <c r="E51">
        <f t="shared" si="0"/>
        <v>0.42640795601530918</v>
      </c>
    </row>
    <row r="52" spans="4:5" x14ac:dyDescent="0.25">
      <c r="D52">
        <v>170</v>
      </c>
      <c r="E52">
        <f t="shared" si="0"/>
        <v>0.43474338256723927</v>
      </c>
    </row>
    <row r="53" spans="4:5" x14ac:dyDescent="0.25">
      <c r="D53">
        <v>175</v>
      </c>
      <c r="E53">
        <f t="shared" si="0"/>
        <v>0.43977014947260107</v>
      </c>
    </row>
    <row r="54" spans="4:5" x14ac:dyDescent="0.25">
      <c r="D54">
        <v>180</v>
      </c>
      <c r="E54">
        <f t="shared" si="0"/>
        <v>0.44145000000000001</v>
      </c>
    </row>
  </sheetData>
  <mergeCells count="2">
    <mergeCell ref="E4:Q4"/>
    <mergeCell ref="E10:Q10"/>
  </mergeCells>
  <conditionalFormatting sqref="E18:E54">
    <cfRule type="cellIs" dxfId="1" priority="1" operator="greaterThan">
      <formula>$E$13</formula>
    </cfRule>
    <cfRule type="cellIs" dxfId="0" priority="2" operator="lessThan">
      <formula>$E$13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</vt:i4>
      </vt:variant>
    </vt:vector>
  </HeadingPairs>
  <TitlesOfParts>
    <vt:vector size="9" baseType="lpstr">
      <vt:lpstr>Dimensions</vt:lpstr>
      <vt:lpstr>Motor</vt:lpstr>
      <vt:lpstr>Lb</vt:lpstr>
      <vt:lpstr>Lf</vt:lpstr>
      <vt:lpstr>Rd</vt:lpstr>
      <vt:lpstr>Re</vt:lpstr>
      <vt:lpstr>Rmax</vt:lpstr>
      <vt:lpstr>Rs</vt:lpstr>
      <vt:lpstr>Zmin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Rowlings</dc:creator>
  <cp:lastModifiedBy>Louis Rowlings</cp:lastModifiedBy>
  <dcterms:created xsi:type="dcterms:W3CDTF">2015-06-05T18:17:20Z</dcterms:created>
  <dcterms:modified xsi:type="dcterms:W3CDTF">2026-04-19T11:55:50Z</dcterms:modified>
</cp:coreProperties>
</file>